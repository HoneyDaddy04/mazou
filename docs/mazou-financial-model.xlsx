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Monthly P&amp;L" sheetId="2" state="visible" r:id="rId4"/>
    <sheet name="Annual Summary" sheetId="3" state="visible" r:id="rId5"/>
    <sheet name="Unit Economic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<sst xmlns="http://schemas.openxmlformats.org/spreadsheetml/2006/main" count="221" uniqueCount="204">
  <si>
    <t xml:space="preserve">Mazou Financial Model — Assumptions</t>
  </si>
  <si>
    <t xml:space="preserve">All blue cells are adjustable inputs. Change them to run scenarios.</t>
  </si>
  <si>
    <t xml:space="preserve">CUSTOMER GROWTH</t>
  </si>
  <si>
    <t xml:space="preserve">Value</t>
  </si>
  <si>
    <t xml:space="preserve">Unit</t>
  </si>
  <si>
    <t xml:space="preserve">Notes</t>
  </si>
  <si>
    <t xml:space="preserve">Launch customers (Month 1)</t>
  </si>
  <si>
    <t xml:space="preserve">customers</t>
  </si>
  <si>
    <t xml:space="preserve">Beta cohort at launch</t>
  </si>
  <si>
    <t xml:space="preserve">Monthly customer growth rate (M1-6)</t>
  </si>
  <si>
    <t xml:space="preserve">High growth — early traction phase</t>
  </si>
  <si>
    <t xml:space="preserve">Monthly customer growth rate (M7-12)</t>
  </si>
  <si>
    <t xml:space="preserve">Stabilising but still strong</t>
  </si>
  <si>
    <t xml:space="preserve">Monthly customer growth rate (M13-24)</t>
  </si>
  <si>
    <t xml:space="preserve">Scale-up phase</t>
  </si>
  <si>
    <t xml:space="preserve">Monthly customer growth rate (M25-36)</t>
  </si>
  <si>
    <t xml:space="preserve">Mature growth</t>
  </si>
  <si>
    <t xml:space="preserve">Monthly churn rate</t>
  </si>
  <si>
    <t xml:space="preserve">Developer platform typical: 2-5%</t>
  </si>
  <si>
    <t xml:space="preserve">REVENUE — LLM API GATEWAY</t>
  </si>
  <si>
    <t xml:space="preserve">Avg monthly API spend per customer (start)</t>
  </si>
  <si>
    <t xml:space="preserve">₦/mo</t>
  </si>
  <si>
    <t xml:space="preserve">~$94 at ₦1,600/$</t>
  </si>
  <si>
    <t xml:space="preserve">Monthly ARPU growth rate</t>
  </si>
  <si>
    <t xml:space="preserve">Usage expansion as customers adopt more models</t>
  </si>
  <si>
    <t xml:space="preserve">Take rate on API passthrough</t>
  </si>
  <si>
    <t xml:space="preserve">8% margin on API spend — industry 5-15%</t>
  </si>
  <si>
    <t xml:space="preserve">Smart Routing savings share</t>
  </si>
  <si>
    <t xml:space="preserve">Mazou keeps 20% of savings generated for customer</t>
  </si>
  <si>
    <t xml:space="preserve">Avg routing savings as % of spend</t>
  </si>
  <si>
    <t xml:space="preserve">Smart routing saves ~15% of a customer's total LLM spend</t>
  </si>
  <si>
    <t xml:space="preserve">REVENUE — AGENT SERVICES (BYOK)</t>
  </si>
  <si>
    <t xml:space="preserve">Month agent services launch</t>
  </si>
  <si>
    <t xml:space="preserve">Q4 2026 — Coinbase wallet integration</t>
  </si>
  <si>
    <t xml:space="preserve">% of customers adopting agent services</t>
  </si>
  <si>
    <t xml:space="preserve">Early adopters connecting Coinbase/Stripe keys</t>
  </si>
  <si>
    <t xml:space="preserve">Monthly agent service adoption growth</t>
  </si>
  <si>
    <t xml:space="preserve">Grows 5% per month as more services integrate</t>
  </si>
  <si>
    <t xml:space="preserve">Avg agent service spend per adopter (start)</t>
  </si>
  <si>
    <t xml:space="preserve">~$31 — wallet txns, search APIs, commerce</t>
  </si>
  <si>
    <t xml:space="preserve">Agent service ARPU growth rate</t>
  </si>
  <si>
    <t xml:space="preserve">Faster growth as agents do more</t>
  </si>
  <si>
    <t xml:space="preserve">Take rate on agent service passthrough</t>
  </si>
  <si>
    <t xml:space="preserve">Lower take rate — visibility/convenience is the value</t>
  </si>
  <si>
    <t xml:space="preserve">REVENUE — USDT / CRYPTO PAYMENTS</t>
  </si>
  <si>
    <t xml:space="preserve">Month USDT funding launches</t>
  </si>
  <si>
    <t xml:space="preserve">Alongside agent wallet launch</t>
  </si>
  <si>
    <t xml:space="preserve">% of customers funding in USDT</t>
  </si>
  <si>
    <t xml:space="preserve">Cross-border teams, crypto-native devs</t>
  </si>
  <si>
    <t xml:space="preserve">FX spread on USDT→NGN conversion</t>
  </si>
  <si>
    <t xml:space="preserve">1.5% spread — competitive vs black market</t>
  </si>
  <si>
    <t xml:space="preserve">COSTS</t>
  </si>
  <si>
    <t xml:space="preserve">Cloud infrastructure (Month 1)</t>
  </si>
  <si>
    <t xml:space="preserve">~$500/mo — servers, CDN, monitoring</t>
  </si>
  <si>
    <t xml:space="preserve">Infra cost monthly growth rate</t>
  </si>
  <si>
    <t xml:space="preserve">Scales with traffic but with economies of scale</t>
  </si>
  <si>
    <t xml:space="preserve">Team size at launch (headcount)</t>
  </si>
  <si>
    <t xml:space="preserve">Founder + 2 engineers</t>
  </si>
  <si>
    <t xml:space="preserve">Avg monthly salary per person</t>
  </si>
  <si>
    <t xml:space="preserve">~$750/mo avg across team</t>
  </si>
  <si>
    <t xml:space="preserve">Hiring: new person every N months</t>
  </si>
  <si>
    <t xml:space="preserve">months</t>
  </si>
  <si>
    <t xml:space="preserve">1 new hire every 4 months</t>
  </si>
  <si>
    <t xml:space="preserve">Marketing spend (Month 1)</t>
  </si>
  <si>
    <t xml:space="preserve">~$125/mo — content, dev community, events</t>
  </si>
  <si>
    <t xml:space="preserve">Marketing monthly growth rate</t>
  </si>
  <si>
    <t xml:space="preserve">Ramp up as revenue grows</t>
  </si>
  <si>
    <t xml:space="preserve">Payment processing fee</t>
  </si>
  <si>
    <t xml:space="preserve">Paystack charges ~1.5%</t>
  </si>
  <si>
    <t xml:space="preserve">Other OpEx (Month 1)</t>
  </si>
  <si>
    <t xml:space="preserve">Legal, tools, subscriptions, misc</t>
  </si>
  <si>
    <t xml:space="preserve">Other OpEx growth rate</t>
  </si>
  <si>
    <t xml:space="preserve">FX &amp; OTHER</t>
  </si>
  <si>
    <t xml:space="preserve">NGN/USD exchange rate</t>
  </si>
  <si>
    <t xml:space="preserve">₦/$</t>
  </si>
  <si>
    <t xml:space="preserve">Used for USD equivalent display</t>
  </si>
  <si>
    <t xml:space="preserve">FUNDRAISING</t>
  </si>
  <si>
    <t xml:space="preserve">Pre-seed raise</t>
  </si>
  <si>
    <t xml:space="preserve">₦</t>
  </si>
  <si>
    <t xml:space="preserve">~$31K — initial runway</t>
  </si>
  <si>
    <t xml:space="preserve">Seed raise (Month 8)</t>
  </si>
  <si>
    <t xml:space="preserve">~$250K — scale-up capital</t>
  </si>
  <si>
    <t xml:space="preserve">Seed raise month</t>
  </si>
  <si>
    <t xml:space="preserve">Mazou — Monthly P&amp;L (36 Months)</t>
  </si>
  <si>
    <t xml:space="preserve">All values in ₦ (Nigerian Naira)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</si>
  <si>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</si>
  <si>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</si>
  <si>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</si>
  <si>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</si>
  <si>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</si>
  <si>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</si>
  <si>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</si>
  <si>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</si>
  <si>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</si>
  <si>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</si>
  <si>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</si>
  <si>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</si>
  <si>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</si>
  <si>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</si>
  <si>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</si>
  <si>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</si>
  <si>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</si>
  <si>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</si>
  <si>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</si>
  <si>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</si>
  <si>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</si>
  <si>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</si>
  <si>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</si>
  <si>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</si>
  <si>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</si>
  <si>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</si>
  <si>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</si>
  <si>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</si>
  <si>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</si>
  <si>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</si>
  <si>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</si>
  <si>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</si>
  <si>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</si>
  <si>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</si>
  <si>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</si>
  <si>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</si>
  <si>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CUSTOMERS</t>
  </si>
  <si>
    <t xml:space="preserve">New customers</t>
  </si>
  <si>
    <t xml:space="preserve">Churned customers</t>
  </si>
  <si>
    <t xml:space="preserve">Total customers</t>
  </si>
  <si>
    <t xml:space="preserve">Agent service adopters</t>
  </si>
  <si>
    <t xml:space="preserve">REVENUE</t>
  </si>
  <si>
    <t xml:space="preserve">  Avg API spend per customer (₦)</t>
  </si>
  <si>
    <t xml:space="preserve">  Gross API passthrough</t>
  </si>
  <si>
    <t xml:space="preserve">  Take rate revenue</t>
  </si>
  <si>
    <t xml:space="preserve">  Routing savings generated</t>
  </si>
  <si>
    <t xml:space="preserve">  Routing savings share revenue</t>
  </si>
  <si>
    <t xml:space="preserve">  Agent service passthrough</t>
  </si>
  <si>
    <t xml:space="preserve">  Agent service take rate revenue</t>
  </si>
  <si>
    <t xml:space="preserve">  USDT FX spread revenue</t>
  </si>
  <si>
    <t xml:space="preserve">Total Revenue</t>
  </si>
  <si>
    <t xml:space="preserve">  Cloud infrastructure</t>
  </si>
  <si>
    <t xml:space="preserve">  Team (salaries)</t>
  </si>
  <si>
    <t xml:space="preserve">  Marketing</t>
  </si>
  <si>
    <t xml:space="preserve">  Payment processing (on passthrough)</t>
  </si>
  <si>
    <t xml:space="preserve">  Other OpEx</t>
  </si>
  <si>
    <t xml:space="preserve">Total Costs</t>
  </si>
  <si>
    <t xml:space="preserve">EBITDA / PROFIT</t>
  </si>
  <si>
    <t xml:space="preserve">EBITDA (Revenue - Costs)</t>
  </si>
  <si>
    <t xml:space="preserve">EBITDA Margin</t>
  </si>
  <si>
    <t xml:space="preserve">Cumulative EBITDA</t>
  </si>
  <si>
    <t xml:space="preserve">CASH</t>
  </si>
  <si>
    <t xml:space="preserve">Fundraising inflow</t>
  </si>
  <si>
    <t xml:space="preserve">Cash balance</t>
  </si>
  <si>
    <t xml:space="preserve">Runway (months at current burn)</t>
  </si>
  <si>
    <t xml:space="preserve">KEY METRICS</t>
  </si>
  <si>
    <t xml:space="preserve">Revenue per customer (₦)</t>
  </si>
  <si>
    <t xml:space="preserve">Gross margin</t>
  </si>
  <si>
    <t xml:space="preserve">Team size</t>
  </si>
  <si>
    <t xml:space="preserve">Revenue per employee (₦)</t>
  </si>
  <si>
    <t xml:space="preserve">Revenue (USD equivalent)</t>
  </si>
  <si>
    <t xml:space="preserve">Mazou — Annual Summary</t>
  </si>
  <si>
    <t xml:space="preserve">All values in ₦ unless noted</t>
  </si>
  <si>
    <t xml:space="preserve">Year 1 (M1-12)</t>
  </si>
  <si>
    <t xml:space="preserve">Year 2 (M13-24)</t>
  </si>
  <si>
    <t xml:space="preserve">Year 3 (M25-36)</t>
  </si>
  <si>
    <t xml:space="preserve">End-of-year customers</t>
  </si>
  <si>
    <t xml:space="preserve">Avg monthly customers</t>
  </si>
  <si>
    <t xml:space="preserve">Agent service adopters (EoY)</t>
  </si>
  <si>
    <t xml:space="preserve">LLM take rate revenue</t>
  </si>
  <si>
    <t xml:space="preserve">Routing savings share</t>
  </si>
  <si>
    <t xml:space="preserve">Agent services revenue</t>
  </si>
  <si>
    <t xml:space="preserve">USDT FX revenue</t>
  </si>
  <si>
    <t xml:space="preserve">Infrastructure</t>
  </si>
  <si>
    <t xml:space="preserve">Team</t>
  </si>
  <si>
    <t xml:space="preserve">Marketing</t>
  </si>
  <si>
    <t xml:space="preserve">Payment processing</t>
  </si>
  <si>
    <t xml:space="preserve">Other OpEx</t>
  </si>
  <si>
    <t xml:space="preserve">PROFITABILITY</t>
  </si>
  <si>
    <t xml:space="preserve">EBITDA</t>
  </si>
  <si>
    <t xml:space="preserve">EBITDA (USD)</t>
  </si>
  <si>
    <t xml:space="preserve">End-of-year cash</t>
  </si>
  <si>
    <t xml:space="preserve">End-of-year cash (USD)</t>
  </si>
  <si>
    <t xml:space="preserve">Mazou — Unit Economics</t>
  </si>
  <si>
    <t xml:space="preserve">Key SaaS / infrastructure metrics</t>
  </si>
  <si>
    <t xml:space="preserve">Year 1</t>
  </si>
  <si>
    <t xml:space="preserve">Year 2</t>
  </si>
  <si>
    <t xml:space="preserve">Year 3</t>
  </si>
  <si>
    <t xml:space="preserve">REVENUE METRICS</t>
  </si>
  <si>
    <t xml:space="preserve">Annual Revenue (₦)</t>
  </si>
  <si>
    <t xml:space="preserve">Annual Revenue (USD)</t>
  </si>
  <si>
    <t xml:space="preserve">MRR End of Year (₦)</t>
  </si>
  <si>
    <t xml:space="preserve">ARR End of Year (₦)</t>
  </si>
  <si>
    <t xml:space="preserve">PER-CUSTOMER METRICS</t>
  </si>
  <si>
    <t xml:space="preserve">Avg Revenue Per Customer (₦/mo)</t>
  </si>
  <si>
    <t xml:space="preserve">Avg Revenue Per Customer (USD/mo)</t>
  </si>
  <si>
    <t xml:space="preserve">LLM revenue per customer</t>
  </si>
  <si>
    <t xml:space="preserve">Agent service revenue per adopter</t>
  </si>
  <si>
    <t xml:space="preserve">MARGINS</t>
  </si>
  <si>
    <t xml:space="preserve">Gross Margin (after API + processing)</t>
  </si>
  <si>
    <t xml:space="preserve">Net Revenue Retention</t>
  </si>
  <si>
    <t xml:space="preserve">GROWTH</t>
  </si>
  <si>
    <t xml:space="preserve">Revenue growth (YoY)</t>
  </si>
  <si>
    <t xml:space="preserve">N/A</t>
  </si>
  <si>
    <t xml:space="preserve">Customer growth (YoY)</t>
  </si>
  <si>
    <t xml:space="preserve">UNIT ECONOMICS</t>
  </si>
  <si>
    <t xml:space="preserve">Implied CAC (marketing / new customers)</t>
  </si>
  <si>
    <t xml:space="preserve">Implied LTV (12mo rev × gross margin)</t>
  </si>
  <si>
    <t xml:space="preserve">LTV / CAC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</si>
</sst>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\₦#,##0"/>
    <numFmt numFmtId="168" formatCode="#,##0.0"/>
    <numFmt numFmtId="169" formatCode="\$#,##0"/>
    <numFmt numFmtId="170" formatCode="0.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1"/>
      <color rgb="FF00A85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0"/>
        <bgColor rgb="FFFFFFFF"/>
      </patternFill>
    </fill>
    <fill>
      <patternFill patternType="solid">
        <fgColor rgb="FF0A0A0C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854"/>
      <rgbColor rgb="FF0A0A0C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5" min="3" style="0" width="14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F4" s="4" t="s">
        <v>5</v>
      </c>
    </row>
    <row r="5" customFormat="false" ht="15" hidden="false" customHeight="false" outlineLevel="0" collapsed="false">
      <c r="A5" s="5" t="s">
        <v>6</v>
      </c>
      <c r="B5" s="6" t="n">
        <v>5</v>
      </c>
      <c r="C5" s="7" t="s">
        <v>7</v>
      </c>
      <c r="F5" s="2" t="s">
        <v>8</v>
      </c>
    </row>
    <row r="6" customFormat="false" ht="15" hidden="false" customHeight="false" outlineLevel="0" collapsed="false">
      <c r="A6" s="5" t="s">
        <v>9</v>
      </c>
      <c r="B6" s="8" t="n">
        <v>0.25</v>
      </c>
      <c r="F6" s="2" t="s">
        <v>10</v>
      </c>
    </row>
    <row r="7" customFormat="false" ht="15" hidden="false" customHeight="false" outlineLevel="0" collapsed="false">
      <c r="A7" s="5" t="s">
        <v>11</v>
      </c>
      <c r="B7" s="8" t="n">
        <v>0.2</v>
      </c>
      <c r="F7" s="2" t="s">
        <v>12</v>
      </c>
    </row>
    <row r="8" customFormat="false" ht="15" hidden="false" customHeight="false" outlineLevel="0" collapsed="false">
      <c r="A8" s="5" t="s">
        <v>13</v>
      </c>
      <c r="B8" s="8" t="n">
        <v>0.15</v>
      </c>
      <c r="F8" s="2" t="s">
        <v>14</v>
      </c>
    </row>
    <row r="9" customFormat="false" ht="15" hidden="false" customHeight="false" outlineLevel="0" collapsed="false">
      <c r="A9" s="5" t="s">
        <v>15</v>
      </c>
      <c r="B9" s="8" t="n">
        <v>0.1</v>
      </c>
      <c r="F9" s="2" t="s">
        <v>16</v>
      </c>
    </row>
    <row r="10" customFormat="false" ht="15" hidden="false" customHeight="false" outlineLevel="0" collapsed="false">
      <c r="A10" s="5" t="s">
        <v>17</v>
      </c>
      <c r="B10" s="8" t="n">
        <v>0.03</v>
      </c>
      <c r="F10" s="2" t="s">
        <v>18</v>
      </c>
    </row>
    <row r="12" customFormat="false" ht="15" hidden="false" customHeight="false" outlineLevel="0" collapsed="false">
      <c r="A12" s="3" t="s">
        <v>19</v>
      </c>
    </row>
    <row r="13" customFormat="false" ht="15" hidden="false" customHeight="false" outlineLevel="0" collapsed="false">
      <c r="A13" s="5" t="s">
        <v>20</v>
      </c>
      <c r="B13" s="9" t="n">
        <v>150000</v>
      </c>
      <c r="C13" s="7" t="s">
        <v>21</v>
      </c>
      <c r="F13" s="2" t="s">
        <v>22</v>
      </c>
    </row>
    <row r="14" customFormat="false" ht="15" hidden="false" customHeight="false" outlineLevel="0" collapsed="false">
      <c r="A14" s="5" t="s">
        <v>23</v>
      </c>
      <c r="B14" s="8" t="n">
        <v>0.03</v>
      </c>
      <c r="F14" s="2" t="s">
        <v>24</v>
      </c>
    </row>
    <row r="15" customFormat="false" ht="15" hidden="false" customHeight="false" outlineLevel="0" collapsed="false">
      <c r="A15" s="5" t="s">
        <v>25</v>
      </c>
      <c r="B15" s="8" t="n">
        <v>0.08</v>
      </c>
      <c r="F15" s="2" t="s">
        <v>26</v>
      </c>
    </row>
    <row r="16" customFormat="false" ht="15" hidden="false" customHeight="false" outlineLevel="0" collapsed="false">
      <c r="A16" s="5" t="s">
        <v>27</v>
      </c>
      <c r="B16" s="8" t="n">
        <v>0.2</v>
      </c>
      <c r="F16" s="2" t="s">
        <v>28</v>
      </c>
    </row>
    <row r="17" customFormat="false" ht="15" hidden="false" customHeight="false" outlineLevel="0" collapsed="false">
      <c r="A17" s="5" t="s">
        <v>29</v>
      </c>
      <c r="B17" s="8" t="n">
        <v>0.15</v>
      </c>
      <c r="F17" s="2" t="s">
        <v>30</v>
      </c>
    </row>
    <row r="19" customFormat="false" ht="15" hidden="false" customHeight="false" outlineLevel="0" collapsed="false">
      <c r="A19" s="3" t="s">
        <v>31</v>
      </c>
    </row>
    <row r="20" customFormat="false" ht="15" hidden="false" customHeight="false" outlineLevel="0" collapsed="false">
      <c r="A20" s="5" t="s">
        <v>32</v>
      </c>
      <c r="B20" s="6" t="n">
        <v>10</v>
      </c>
      <c r="F20" s="2" t="s">
        <v>33</v>
      </c>
    </row>
    <row r="21" customFormat="false" ht="15" hidden="false" customHeight="false" outlineLevel="0" collapsed="false">
      <c r="A21" s="5" t="s">
        <v>34</v>
      </c>
      <c r="B21" s="8" t="n">
        <v>0.15</v>
      </c>
      <c r="F21" s="2" t="s">
        <v>35</v>
      </c>
    </row>
    <row r="22" customFormat="false" ht="15" hidden="false" customHeight="false" outlineLevel="0" collapsed="false">
      <c r="A22" s="5" t="s">
        <v>36</v>
      </c>
      <c r="B22" s="8" t="n">
        <v>0.05</v>
      </c>
      <c r="F22" s="2" t="s">
        <v>37</v>
      </c>
    </row>
    <row r="23" customFormat="false" ht="15" hidden="false" customHeight="false" outlineLevel="0" collapsed="false">
      <c r="A23" s="5" t="s">
        <v>38</v>
      </c>
      <c r="B23" s="9" t="n">
        <v>50000</v>
      </c>
      <c r="C23" s="7" t="s">
        <v>21</v>
      </c>
      <c r="F23" s="2" t="s">
        <v>39</v>
      </c>
    </row>
    <row r="24" customFormat="false" ht="15" hidden="false" customHeight="false" outlineLevel="0" collapsed="false">
      <c r="A24" s="5" t="s">
        <v>40</v>
      </c>
      <c r="B24" s="8" t="n">
        <v>0.05</v>
      </c>
      <c r="F24" s="2" t="s">
        <v>41</v>
      </c>
    </row>
    <row r="25" customFormat="false" ht="15" hidden="false" customHeight="false" outlineLevel="0" collapsed="false">
      <c r="A25" s="5" t="s">
        <v>42</v>
      </c>
      <c r="B25" s="8" t="n">
        <v>0.05</v>
      </c>
      <c r="F25" s="2" t="s">
        <v>43</v>
      </c>
    </row>
    <row r="27" customFormat="false" ht="15" hidden="false" customHeight="false" outlineLevel="0" collapsed="false">
      <c r="A27" s="3" t="s">
        <v>44</v>
      </c>
    </row>
    <row r="28" customFormat="false" ht="15" hidden="false" customHeight="false" outlineLevel="0" collapsed="false">
      <c r="A28" s="5" t="s">
        <v>45</v>
      </c>
      <c r="B28" s="6" t="n">
        <v>10</v>
      </c>
      <c r="F28" s="2" t="s">
        <v>46</v>
      </c>
    </row>
    <row r="29" customFormat="false" ht="15" hidden="false" customHeight="false" outlineLevel="0" collapsed="false">
      <c r="A29" s="5" t="s">
        <v>47</v>
      </c>
      <c r="B29" s="8" t="n">
        <v>0.1</v>
      </c>
      <c r="F29" s="2" t="s">
        <v>48</v>
      </c>
    </row>
    <row r="30" customFormat="false" ht="15" hidden="false" customHeight="false" outlineLevel="0" collapsed="false">
      <c r="A30" s="5" t="s">
        <v>49</v>
      </c>
      <c r="B30" s="8" t="n">
        <v>0.015</v>
      </c>
      <c r="F30" s="2" t="s">
        <v>50</v>
      </c>
    </row>
    <row r="32" customFormat="false" ht="15" hidden="false" customHeight="false" outlineLevel="0" collapsed="false">
      <c r="A32" s="3" t="s">
        <v>51</v>
      </c>
    </row>
    <row r="33" customFormat="false" ht="15" hidden="false" customHeight="false" outlineLevel="0" collapsed="false">
      <c r="A33" s="5" t="s">
        <v>52</v>
      </c>
      <c r="B33" s="9" t="n">
        <v>800000</v>
      </c>
      <c r="C33" s="7" t="s">
        <v>21</v>
      </c>
      <c r="F33" s="2" t="s">
        <v>53</v>
      </c>
    </row>
    <row r="34" customFormat="false" ht="15" hidden="false" customHeight="false" outlineLevel="0" collapsed="false">
      <c r="A34" s="5" t="s">
        <v>54</v>
      </c>
      <c r="B34" s="8" t="n">
        <v>0.08</v>
      </c>
      <c r="F34" s="2" t="s">
        <v>55</v>
      </c>
    </row>
    <row r="35" customFormat="false" ht="15" hidden="false" customHeight="false" outlineLevel="0" collapsed="false">
      <c r="A35" s="5" t="s">
        <v>56</v>
      </c>
      <c r="B35" s="6" t="n">
        <v>3</v>
      </c>
      <c r="F35" s="2" t="s">
        <v>57</v>
      </c>
    </row>
    <row r="36" customFormat="false" ht="15" hidden="false" customHeight="false" outlineLevel="0" collapsed="false">
      <c r="A36" s="5" t="s">
        <v>58</v>
      </c>
      <c r="B36" s="9" t="n">
        <v>1200000</v>
      </c>
      <c r="C36" s="7" t="s">
        <v>21</v>
      </c>
      <c r="F36" s="2" t="s">
        <v>59</v>
      </c>
    </row>
    <row r="37" customFormat="false" ht="15" hidden="false" customHeight="false" outlineLevel="0" collapsed="false">
      <c r="A37" s="5" t="s">
        <v>60</v>
      </c>
      <c r="B37" s="6" t="n">
        <v>4</v>
      </c>
      <c r="C37" s="7" t="s">
        <v>61</v>
      </c>
      <c r="F37" s="2" t="s">
        <v>62</v>
      </c>
    </row>
    <row r="38" customFormat="false" ht="15" hidden="false" customHeight="false" outlineLevel="0" collapsed="false">
      <c r="A38" s="5" t="s">
        <v>63</v>
      </c>
      <c r="B38" s="9" t="n">
        <v>200000</v>
      </c>
      <c r="C38" s="7" t="s">
        <v>21</v>
      </c>
      <c r="F38" s="2" t="s">
        <v>64</v>
      </c>
    </row>
    <row r="39" customFormat="false" ht="15" hidden="false" customHeight="false" outlineLevel="0" collapsed="false">
      <c r="A39" s="5" t="s">
        <v>65</v>
      </c>
      <c r="B39" s="8" t="n">
        <v>0.1</v>
      </c>
      <c r="F39" s="2" t="s">
        <v>66</v>
      </c>
    </row>
    <row r="40" customFormat="false" ht="15" hidden="false" customHeight="false" outlineLevel="0" collapsed="false">
      <c r="A40" s="5" t="s">
        <v>67</v>
      </c>
      <c r="B40" s="8" t="n">
        <v>0.015</v>
      </c>
      <c r="F40" s="2" t="s">
        <v>68</v>
      </c>
    </row>
    <row r="41" customFormat="false" ht="15" hidden="false" customHeight="false" outlineLevel="0" collapsed="false">
      <c r="A41" s="5" t="s">
        <v>69</v>
      </c>
      <c r="B41" s="9" t="n">
        <v>300000</v>
      </c>
      <c r="C41" s="7" t="s">
        <v>21</v>
      </c>
      <c r="F41" s="2" t="s">
        <v>70</v>
      </c>
    </row>
    <row r="42" customFormat="false" ht="15" hidden="false" customHeight="false" outlineLevel="0" collapsed="false">
      <c r="A42" s="5" t="s">
        <v>71</v>
      </c>
      <c r="B42" s="8" t="n">
        <v>0.05</v>
      </c>
    </row>
    <row r="44" customFormat="false" ht="15" hidden="false" customHeight="false" outlineLevel="0" collapsed="false">
      <c r="A44" s="3" t="s">
        <v>72</v>
      </c>
    </row>
    <row r="45" customFormat="false" ht="15" hidden="false" customHeight="false" outlineLevel="0" collapsed="false">
      <c r="A45" s="5" t="s">
        <v>73</v>
      </c>
      <c r="B45" s="6" t="n">
        <v>1600</v>
      </c>
      <c r="C45" s="7" t="s">
        <v>74</v>
      </c>
      <c r="F45" s="2" t="s">
        <v>75</v>
      </c>
    </row>
    <row r="47" customFormat="false" ht="15" hidden="false" customHeight="false" outlineLevel="0" collapsed="false">
      <c r="A47" s="3" t="s">
        <v>76</v>
      </c>
    </row>
    <row r="48" customFormat="false" ht="15" hidden="false" customHeight="false" outlineLevel="0" collapsed="false">
      <c r="A48" s="5" t="s">
        <v>77</v>
      </c>
      <c r="B48" s="9" t="n">
        <v>50000000</v>
      </c>
      <c r="C48" s="7" t="s">
        <v>78</v>
      </c>
      <c r="F48" s="2" t="s">
        <v>79</v>
      </c>
    </row>
    <row r="49" customFormat="false" ht="15" hidden="false" customHeight="false" outlineLevel="0" collapsed="false">
      <c r="A49" s="5" t="s">
        <v>80</v>
      </c>
      <c r="B49" s="9" t="n">
        <v>400000000</v>
      </c>
      <c r="C49" s="7" t="s">
        <v>78</v>
      </c>
      <c r="F49" s="2" t="s">
        <v>81</v>
      </c>
    </row>
    <row r="50" customFormat="false" ht="15" hidden="false" customHeight="false" outlineLevel="0" collapsed="false">
      <c r="A50" s="5" t="s">
        <v>82</v>
      </c>
      <c r="B50" s="6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7" min="2" style="0" width="14"/>
  </cols>
  <sheetData>
    <row r="1" customFormat="false" ht="17.35" hidden="false" customHeight="false" outlineLevel="0" collapsed="false">
      <c r="A1" s="1" t="s">
        <v>83</v>
      </c>
    </row>
    <row r="2" customFormat="false" ht="15" hidden="false" customHeight="false" outlineLevel="0" collapsed="false">
      <c r="A2" s="2" t="s">
        <v>84</v>
      </c>
    </row>
    <row r="4" customFormat="false" ht="15" hidden="false" customHeight="false" outlineLevel="0" collapsed="false">
      <c r="A4" s="4"/>
      <c r="B4" s="10" t="s">
        <v>85</v>
      </c>
      <c r="C4" s="10" t="s">
        <v>86</v>
      </c>
      <c r="D4" s="10" t="s">
        <v>87</v>
      </c>
      <c r="E4" s="10" t="s">
        <v>88</v>
      </c>
      <c r="F4" s="10" t="s">
        <v>89</v>
      </c>
      <c r="G4" s="10" t="s">
        <v>90</v>
      </c>
      <c r="H4" s="10" t="s">
        <v>91</v>
      </c>
      <c r="I4" s="10" t="s">
        <v>92</v>
      </c>
      <c r="J4" s="10" t="s">
        <v>93</v>
      </c>
      <c r="K4" s="10" t="s">
        <v>94</v>
      </c>
      <c r="L4" s="10" t="s">
        <v>95</v>
      </c>
      <c r="M4" s="10" t="s">
        <v>96</v>
      </c>
      <c r="N4" s="10" t="s">
        <v>97</v>
      </c>
      <c r="O4" s="10" t="s">
        <v>98</v>
      </c>
      <c r="P4" s="10" t="s">
        <v>99</v>
      </c>
      <c r="Q4" s="10" t="s">
        <v>100</v>
      </c>
      <c r="R4" s="10" t="s">
        <v>101</v>
      </c>
      <c r="S4" s="10" t="s">
        <v>102</v>
      </c>
      <c r="T4" s="10" t="s">
        <v>103</v>
      </c>
      <c r="U4" s="10" t="s">
        <v>104</v>
      </c>
      <c r="V4" s="10" t="s">
        <v>105</v>
      </c>
      <c r="W4" s="10" t="s">
        <v>106</v>
      </c>
      <c r="X4" s="10" t="s">
        <v>107</v>
      </c>
      <c r="Y4" s="10" t="s">
        <v>108</v>
      </c>
      <c r="Z4" s="10" t="s">
        <v>109</v>
      </c>
      <c r="AA4" s="10" t="s">
        <v>110</v>
      </c>
      <c r="AB4" s="10" t="s">
        <v>111</v>
      </c>
      <c r="AC4" s="10" t="s">
        <v>112</v>
      </c>
      <c r="AD4" s="10" t="s">
        <v>113</v>
      </c>
      <c r="AE4" s="10" t="s">
        <v>114</v>
      </c>
      <c r="AF4" s="10" t="s">
        <v>115</v>
      </c>
      <c r="AG4" s="10" t="s">
        <v>116</v>
      </c>
      <c r="AH4" s="10" t="s">
        <v>117</v>
      </c>
      <c r="AI4" s="10" t="s">
        <v>118</v>
      </c>
      <c r="AJ4" s="10" t="s">
        <v>119</v>
      </c>
      <c r="AK4" s="10" t="s">
        <v>120</v>
      </c>
    </row>
    <row r="6" customFormat="false" ht="15" hidden="false" customHeight="false" outlineLevel="0" collapsed="false">
      <c r="A6" s="3" t="s">
        <v>121</v>
      </c>
    </row>
    <row r="7" customFormat="false" ht="15" hidden="false" customHeight="false" outlineLevel="0" collapsed="false">
      <c r="A7" s="5" t="s">
        <v>122</v>
      </c>
      <c r="B7" s="11" t="n">
        <f aca="false">Assumptions!B5</f>
        <v>5</v>
      </c>
      <c r="C7" s="12" t="n">
        <f aca="false">ROUND(B9*IF(2&lt;=6,Assumptions!B6,IF(2&lt;=12,Assumptions!B7,IF(2&lt;=24,Assumptions!B8,Assumptions!B9))),0)</f>
        <v>1</v>
      </c>
      <c r="D7" s="12" t="n">
        <f aca="false">ROUND(C9*IF(3&lt;=6,Assumptions!B6,IF(3&lt;=12,Assumptions!B7,IF(3&lt;=24,Assumptions!B8,Assumptions!B9))),0)</f>
        <v>2</v>
      </c>
      <c r="E7" s="12" t="n">
        <f aca="false">ROUND(D9*IF(4&lt;=6,Assumptions!B6,IF(4&lt;=12,Assumptions!B7,IF(4&lt;=24,Assumptions!B8,Assumptions!B9))),0)</f>
        <v>2</v>
      </c>
      <c r="F7" s="12" t="n">
        <f aca="false">ROUND(E9*IF(5&lt;=6,Assumptions!B6,IF(5&lt;=12,Assumptions!B7,IF(5&lt;=24,Assumptions!B8,Assumptions!B9))),0)</f>
        <v>3</v>
      </c>
      <c r="G7" s="12" t="n">
        <f aca="false">ROUND(F9*IF(6&lt;=6,Assumptions!B6,IF(6&lt;=12,Assumptions!B7,IF(6&lt;=24,Assumptions!B8,Assumptions!B9))),0)</f>
        <v>3</v>
      </c>
      <c r="H7" s="12" t="n">
        <f aca="false">ROUND(G9*IF(7&lt;=6,Assumptions!B6,IF(7&lt;=12,Assumptions!B7,IF(7&lt;=24,Assumptions!B8,Assumptions!B9))),0)</f>
        <v>3</v>
      </c>
      <c r="I7" s="12" t="n">
        <f aca="false">ROUND(H9*IF(8&lt;=6,Assumptions!B6,IF(8&lt;=12,Assumptions!B7,IF(8&lt;=24,Assumptions!B8,Assumptions!B9))),0)</f>
        <v>4</v>
      </c>
      <c r="J7" s="12" t="n">
        <f aca="false">ROUND(I9*IF(9&lt;=6,Assumptions!B6,IF(9&lt;=12,Assumptions!B7,IF(9&lt;=24,Assumptions!B8,Assumptions!B9))),0)</f>
        <v>4</v>
      </c>
      <c r="K7" s="12" t="n">
        <f aca="false">ROUND(J9*IF(10&lt;=6,Assumptions!B6,IF(10&lt;=12,Assumptions!B7,IF(10&lt;=24,Assumptions!B8,Assumptions!B9))),0)</f>
        <v>5</v>
      </c>
      <c r="L7" s="12" t="n">
        <f aca="false">ROUND(K9*IF(11&lt;=6,Assumptions!B6,IF(11&lt;=12,Assumptions!B7,IF(11&lt;=24,Assumptions!B8,Assumptions!B9))),0)</f>
        <v>6</v>
      </c>
      <c r="M7" s="12" t="n">
        <f aca="false">ROUND(L9*IF(12&lt;=6,Assumptions!B6,IF(12&lt;=12,Assumptions!B7,IF(12&lt;=24,Assumptions!B8,Assumptions!B9))),0)</f>
        <v>7</v>
      </c>
      <c r="N7" s="12" t="n">
        <f aca="false">ROUND(M9*IF(13&lt;=6,Assumptions!B6,IF(13&lt;=12,Assumptions!B7,IF(13&lt;=24,Assumptions!B8,Assumptions!B9))),0)</f>
        <v>6</v>
      </c>
      <c r="O7" s="12" t="n">
        <f aca="false">ROUND(N9*IF(14&lt;=6,Assumptions!B6,IF(14&lt;=12,Assumptions!B7,IF(14&lt;=24,Assumptions!B8,Assumptions!B9))),0)</f>
        <v>7</v>
      </c>
      <c r="P7" s="12" t="n">
        <f aca="false">ROUND(O9*IF(15&lt;=6,Assumptions!B6,IF(15&lt;=12,Assumptions!B7,IF(15&lt;=24,Assumptions!B8,Assumptions!B9))),0)</f>
        <v>8</v>
      </c>
      <c r="Q7" s="12" t="n">
        <f aca="false">ROUND(P9*IF(16&lt;=6,Assumptions!B6,IF(16&lt;=12,Assumptions!B7,IF(16&lt;=24,Assumptions!B8,Assumptions!B9))),0)</f>
        <v>9</v>
      </c>
      <c r="R7" s="12" t="n">
        <f aca="false">ROUND(Q9*IF(17&lt;=6,Assumptions!B6,IF(17&lt;=12,Assumptions!B7,IF(17&lt;=24,Assumptions!B8,Assumptions!B9))),0)</f>
        <v>10</v>
      </c>
      <c r="S7" s="12" t="n">
        <f aca="false">ROUND(R9*IF(18&lt;=6,Assumptions!B6,IF(18&lt;=12,Assumptions!B7,IF(18&lt;=24,Assumptions!B8,Assumptions!B9))),0)</f>
        <v>11</v>
      </c>
      <c r="T7" s="12" t="n">
        <f aca="false">ROUND(S9*IF(19&lt;=6,Assumptions!B6,IF(19&lt;=12,Assumptions!B7,IF(19&lt;=24,Assumptions!B8,Assumptions!B9))),0)</f>
        <v>12</v>
      </c>
      <c r="U7" s="12" t="n">
        <f aca="false">ROUND(T9*IF(20&lt;=6,Assumptions!B6,IF(20&lt;=12,Assumptions!B7,IF(20&lt;=24,Assumptions!B8,Assumptions!B9))),0)</f>
        <v>14</v>
      </c>
      <c r="V7" s="12" t="n">
        <f aca="false">ROUND(U9*IF(21&lt;=6,Assumptions!B6,IF(21&lt;=12,Assumptions!B7,IF(21&lt;=24,Assumptions!B8,Assumptions!B9))),0)</f>
        <v>15</v>
      </c>
      <c r="W7" s="12" t="n">
        <f aca="false">ROUND(V9*IF(22&lt;=6,Assumptions!B6,IF(22&lt;=12,Assumptions!B7,IF(22&lt;=24,Assumptions!B8,Assumptions!B9))),0)</f>
        <v>17</v>
      </c>
      <c r="X7" s="12" t="n">
        <f aca="false">ROUND(W9*IF(23&lt;=6,Assumptions!B6,IF(23&lt;=12,Assumptions!B7,IF(23&lt;=24,Assumptions!B8,Assumptions!B9))),0)</f>
        <v>19</v>
      </c>
      <c r="Y7" s="12" t="n">
        <f aca="false">ROUND(X9*IF(24&lt;=6,Assumptions!B6,IF(24&lt;=12,Assumptions!B7,IF(24&lt;=24,Assumptions!B8,Assumptions!B9))),0)</f>
        <v>21</v>
      </c>
      <c r="Z7" s="12" t="n">
        <f aca="false">ROUND(Y9*IF(25&lt;=6,Assumptions!B6,IF(25&lt;=12,Assumptions!B7,IF(25&lt;=24,Assumptions!B8,Assumptions!B9))),0)</f>
        <v>16</v>
      </c>
      <c r="AA7" s="12" t="n">
        <f aca="false">ROUND(Z9*IF(26&lt;=6,Assumptions!B6,IF(26&lt;=12,Assumptions!B7,IF(26&lt;=24,Assumptions!B8,Assumptions!B9))),0)</f>
        <v>17</v>
      </c>
      <c r="AB7" s="12" t="n">
        <f aca="false">ROUND(AA9*IF(27&lt;=6,Assumptions!B6,IF(27&lt;=12,Assumptions!B7,IF(27&lt;=24,Assumptions!B8,Assumptions!B9))),0)</f>
        <v>18</v>
      </c>
      <c r="AC7" s="12" t="n">
        <f aca="false">ROUND(AB9*IF(28&lt;=6,Assumptions!B6,IF(28&lt;=12,Assumptions!B7,IF(28&lt;=24,Assumptions!B8,Assumptions!B9))),0)</f>
        <v>20</v>
      </c>
      <c r="AD7" s="12" t="n">
        <f aca="false">ROUND(AC9*IF(29&lt;=6,Assumptions!B6,IF(29&lt;=12,Assumptions!B7,IF(29&lt;=24,Assumptions!B8,Assumptions!B9))),0)</f>
        <v>21</v>
      </c>
      <c r="AE7" s="12" t="n">
        <f aca="false">ROUND(AD9*IF(30&lt;=6,Assumptions!B6,IF(30&lt;=12,Assumptions!B7,IF(30&lt;=24,Assumptions!B8,Assumptions!B9))),0)</f>
        <v>23</v>
      </c>
      <c r="AF7" s="12" t="n">
        <f aca="false">ROUND(AE9*IF(31&lt;=6,Assumptions!B6,IF(31&lt;=12,Assumptions!B7,IF(31&lt;=24,Assumptions!B8,Assumptions!B9))),0)</f>
        <v>24</v>
      </c>
      <c r="AG7" s="12" t="n">
        <f aca="false">ROUND(AF9*IF(32&lt;=6,Assumptions!B6,IF(32&lt;=12,Assumptions!B7,IF(32&lt;=24,Assumptions!B8,Assumptions!B9))),0)</f>
        <v>26</v>
      </c>
      <c r="AH7" s="12" t="n">
        <f aca="false">ROUND(AG9*IF(33&lt;=6,Assumptions!B6,IF(33&lt;=12,Assumptions!B7,IF(33&lt;=24,Assumptions!B8,Assumptions!B9))),0)</f>
        <v>28</v>
      </c>
      <c r="AI7" s="12" t="n">
        <f aca="false">ROUND(AH9*IF(34&lt;=6,Assumptions!B6,IF(34&lt;=12,Assumptions!B7,IF(34&lt;=24,Assumptions!B8,Assumptions!B9))),0)</f>
        <v>30</v>
      </c>
      <c r="AJ7" s="12" t="n">
        <f aca="false">ROUND(AI9*IF(35&lt;=6,Assumptions!B6,IF(35&lt;=12,Assumptions!B7,IF(35&lt;=24,Assumptions!B8,Assumptions!B9))),0)</f>
        <v>32</v>
      </c>
      <c r="AK7" s="12" t="n">
        <f aca="false">ROUND(AJ9*IF(36&lt;=6,Assumptions!B6,IF(36&lt;=12,Assumptions!B7,IF(36&lt;=24,Assumptions!B8,Assumptions!B9))),0)</f>
        <v>34</v>
      </c>
    </row>
    <row r="8" customFormat="false" ht="15" hidden="false" customHeight="false" outlineLevel="0" collapsed="false">
      <c r="A8" s="5" t="s">
        <v>123</v>
      </c>
      <c r="B8" s="12" t="n">
        <f aca="false">0</f>
        <v>0</v>
      </c>
      <c r="C8" s="12" t="n">
        <f aca="false">ROUND(B9*Assumptions!B10,0)</f>
        <v>0</v>
      </c>
      <c r="D8" s="12" t="n">
        <f aca="false">ROUND(C9*Assumptions!B10,0)</f>
        <v>0</v>
      </c>
      <c r="E8" s="12" t="n">
        <f aca="false">ROUND(D9*Assumptions!B10,0)</f>
        <v>0</v>
      </c>
      <c r="F8" s="12" t="n">
        <f aca="false">ROUND(E9*Assumptions!B10,0)</f>
        <v>0</v>
      </c>
      <c r="G8" s="12" t="n">
        <f aca="false">ROUND(F9*Assumptions!B10,0)</f>
        <v>0</v>
      </c>
      <c r="H8" s="12" t="n">
        <f aca="false">ROUND(G9*Assumptions!B10,0)</f>
        <v>0</v>
      </c>
      <c r="I8" s="12" t="n">
        <f aca="false">ROUND(H9*Assumptions!B10,0)</f>
        <v>1</v>
      </c>
      <c r="J8" s="12" t="n">
        <f aca="false">ROUND(I9*Assumptions!B10,0)</f>
        <v>1</v>
      </c>
      <c r="K8" s="12" t="n">
        <f aca="false">ROUND(J9*Assumptions!B10,0)</f>
        <v>1</v>
      </c>
      <c r="L8" s="12" t="n">
        <f aca="false">ROUND(K9*Assumptions!B10,0)</f>
        <v>1</v>
      </c>
      <c r="M8" s="12" t="n">
        <f aca="false">ROUND(L9*Assumptions!B10,0)</f>
        <v>1</v>
      </c>
      <c r="N8" s="12" t="n">
        <f aca="false">ROUND(M9*Assumptions!B10,0)</f>
        <v>1</v>
      </c>
      <c r="O8" s="12" t="n">
        <f aca="false">ROUND(N9*Assumptions!B10,0)</f>
        <v>1</v>
      </c>
      <c r="P8" s="12" t="n">
        <f aca="false">ROUND(O9*Assumptions!B10,0)</f>
        <v>2</v>
      </c>
      <c r="Q8" s="12" t="n">
        <f aca="false">ROUND(P9*Assumptions!B10,0)</f>
        <v>2</v>
      </c>
      <c r="R8" s="12" t="n">
        <f aca="false">ROUND(Q9*Assumptions!B10,0)</f>
        <v>2</v>
      </c>
      <c r="S8" s="12" t="n">
        <f aca="false">ROUND(R9*Assumptions!B10,0)</f>
        <v>2</v>
      </c>
      <c r="T8" s="12" t="n">
        <f aca="false">ROUND(S9*Assumptions!B10,0)</f>
        <v>2</v>
      </c>
      <c r="U8" s="12" t="n">
        <f aca="false">ROUND(T9*Assumptions!B10,0)</f>
        <v>3</v>
      </c>
      <c r="V8" s="12" t="n">
        <f aca="false">ROUND(U9*Assumptions!B10,0)</f>
        <v>3</v>
      </c>
      <c r="W8" s="12" t="n">
        <f aca="false">ROUND(V9*Assumptions!B10,0)</f>
        <v>3</v>
      </c>
      <c r="X8" s="12" t="n">
        <f aca="false">ROUND(W9*Assumptions!B10,0)</f>
        <v>4</v>
      </c>
      <c r="Y8" s="12" t="n">
        <f aca="false">ROUND(X9*Assumptions!B10,0)</f>
        <v>4</v>
      </c>
      <c r="Z8" s="12" t="n">
        <f aca="false">ROUND(Y9*Assumptions!B10,0)</f>
        <v>5</v>
      </c>
      <c r="AA8" s="12" t="n">
        <f aca="false">ROUND(Z9*Assumptions!B10,0)</f>
        <v>5</v>
      </c>
      <c r="AB8" s="12" t="n">
        <f aca="false">ROUND(AA9*Assumptions!B10,0)</f>
        <v>5</v>
      </c>
      <c r="AC8" s="12" t="n">
        <f aca="false">ROUND(AB9*Assumptions!B10,0)</f>
        <v>6</v>
      </c>
      <c r="AD8" s="12" t="n">
        <f aca="false">ROUND(AC9*Assumptions!B10,0)</f>
        <v>6</v>
      </c>
      <c r="AE8" s="12" t="n">
        <f aca="false">ROUND(AD9*Assumptions!B10,0)</f>
        <v>7</v>
      </c>
      <c r="AF8" s="12" t="n">
        <f aca="false">ROUND(AE9*Assumptions!B10,0)</f>
        <v>7</v>
      </c>
      <c r="AG8" s="12" t="n">
        <f aca="false">ROUND(AF9*Assumptions!B10,0)</f>
        <v>8</v>
      </c>
      <c r="AH8" s="12" t="n">
        <f aca="false">ROUND(AG9*Assumptions!B10,0)</f>
        <v>8</v>
      </c>
      <c r="AI8" s="12" t="n">
        <f aca="false">ROUND(AH9*Assumptions!B10,0)</f>
        <v>9</v>
      </c>
      <c r="AJ8" s="12" t="n">
        <f aca="false">ROUND(AI9*Assumptions!B10,0)</f>
        <v>10</v>
      </c>
      <c r="AK8" s="12" t="n">
        <f aca="false">ROUND(AJ9*Assumptions!B10,0)</f>
        <v>10</v>
      </c>
    </row>
    <row r="9" customFormat="false" ht="15" hidden="false" customHeight="false" outlineLevel="0" collapsed="false">
      <c r="A9" s="4" t="s">
        <v>124</v>
      </c>
      <c r="B9" s="13" t="n">
        <f aca="false">B7-B8</f>
        <v>5</v>
      </c>
      <c r="C9" s="13" t="n">
        <f aca="false">B9+C7-C8</f>
        <v>6</v>
      </c>
      <c r="D9" s="13" t="n">
        <f aca="false">C9+D7-D8</f>
        <v>8</v>
      </c>
      <c r="E9" s="13" t="n">
        <f aca="false">D9+E7-E8</f>
        <v>10</v>
      </c>
      <c r="F9" s="13" t="n">
        <f aca="false">E9+F7-F8</f>
        <v>13</v>
      </c>
      <c r="G9" s="13" t="n">
        <f aca="false">F9+G7-G8</f>
        <v>16</v>
      </c>
      <c r="H9" s="13" t="n">
        <f aca="false">G9+H7-H8</f>
        <v>19</v>
      </c>
      <c r="I9" s="13" t="n">
        <f aca="false">H9+I7-I8</f>
        <v>22</v>
      </c>
      <c r="J9" s="13" t="n">
        <f aca="false">I9+J7-J8</f>
        <v>25</v>
      </c>
      <c r="K9" s="13" t="n">
        <f aca="false">J9+K7-K8</f>
        <v>29</v>
      </c>
      <c r="L9" s="13" t="n">
        <f aca="false">K9+L7-L8</f>
        <v>34</v>
      </c>
      <c r="M9" s="13" t="n">
        <f aca="false">L9+M7-M8</f>
        <v>40</v>
      </c>
      <c r="N9" s="13" t="n">
        <f aca="false">M9+N7-N8</f>
        <v>45</v>
      </c>
      <c r="O9" s="13" t="n">
        <f aca="false">N9+O7-O8</f>
        <v>51</v>
      </c>
      <c r="P9" s="13" t="n">
        <f aca="false">O9+P7-P8</f>
        <v>57</v>
      </c>
      <c r="Q9" s="13" t="n">
        <f aca="false">P9+Q7-Q8</f>
        <v>64</v>
      </c>
      <c r="R9" s="13" t="n">
        <f aca="false">Q9+R7-R8</f>
        <v>72</v>
      </c>
      <c r="S9" s="13" t="n">
        <f aca="false">R9+S7-S8</f>
        <v>81</v>
      </c>
      <c r="T9" s="13" t="n">
        <f aca="false">S9+T7-T8</f>
        <v>91</v>
      </c>
      <c r="U9" s="13" t="n">
        <f aca="false">T9+U7-U8</f>
        <v>102</v>
      </c>
      <c r="V9" s="13" t="n">
        <f aca="false">U9+V7-V8</f>
        <v>114</v>
      </c>
      <c r="W9" s="13" t="n">
        <f aca="false">V9+W7-W8</f>
        <v>128</v>
      </c>
      <c r="X9" s="13" t="n">
        <f aca="false">W9+X7-X8</f>
        <v>143</v>
      </c>
      <c r="Y9" s="13" t="n">
        <f aca="false">X9+Y7-Y8</f>
        <v>160</v>
      </c>
      <c r="Z9" s="13" t="n">
        <f aca="false">Y9+Z7-Z8</f>
        <v>171</v>
      </c>
      <c r="AA9" s="13" t="n">
        <f aca="false">Z9+AA7-AA8</f>
        <v>183</v>
      </c>
      <c r="AB9" s="13" t="n">
        <f aca="false">AA9+AB7-AB8</f>
        <v>196</v>
      </c>
      <c r="AC9" s="13" t="n">
        <f aca="false">AB9+AC7-AC8</f>
        <v>210</v>
      </c>
      <c r="AD9" s="13" t="n">
        <f aca="false">AC9+AD7-AD8</f>
        <v>225</v>
      </c>
      <c r="AE9" s="13" t="n">
        <f aca="false">AD9+AE7-AE8</f>
        <v>241</v>
      </c>
      <c r="AF9" s="13" t="n">
        <f aca="false">AE9+AF7-AF8</f>
        <v>258</v>
      </c>
      <c r="AG9" s="13" t="n">
        <f aca="false">AF9+AG7-AG8</f>
        <v>276</v>
      </c>
      <c r="AH9" s="13" t="n">
        <f aca="false">AG9+AH7-AH8</f>
        <v>296</v>
      </c>
      <c r="AI9" s="13" t="n">
        <f aca="false">AH9+AI7-AI8</f>
        <v>317</v>
      </c>
      <c r="AJ9" s="13" t="n">
        <f aca="false">AI9+AJ7-AJ8</f>
        <v>339</v>
      </c>
      <c r="AK9" s="13" t="n">
        <f aca="false">AJ9+AK7-AK8</f>
        <v>363</v>
      </c>
    </row>
    <row r="10" customFormat="false" ht="15" hidden="false" customHeight="false" outlineLevel="0" collapsed="false">
      <c r="A10" s="5" t="s">
        <v>125</v>
      </c>
      <c r="B10" s="12" t="n">
        <f aca="false">IF(1&gt;=Assumptions!B20,ROUND(B9*Assumptions!B21,0),0)</f>
        <v>0</v>
      </c>
      <c r="C10" s="12" t="n">
        <f aca="false">IF(2&gt;=Assumptions!B20,ROUND(B9*MIN(Assumptions!B21+(2-Assumptions!B20)*Assumptions!B22,0.8),0),0)</f>
        <v>0</v>
      </c>
      <c r="D10" s="12" t="n">
        <f aca="false">IF(3&gt;=Assumptions!B20,ROUND(B9*MIN(Assumptions!B21+(3-Assumptions!B20)*Assumptions!B22,0.8),0),0)</f>
        <v>0</v>
      </c>
      <c r="E10" s="12" t="n">
        <f aca="false">IF(4&gt;=Assumptions!B20,ROUND(B9*MIN(Assumptions!B21+(4-Assumptions!B20)*Assumptions!B22,0.8),0),0)</f>
        <v>0</v>
      </c>
      <c r="F10" s="12" t="n">
        <f aca="false">IF(5&gt;=Assumptions!B20,ROUND(B9*MIN(Assumptions!B21+(5-Assumptions!B20)*Assumptions!B22,0.8),0),0)</f>
        <v>0</v>
      </c>
      <c r="G10" s="12" t="n">
        <f aca="false">IF(6&gt;=Assumptions!B20,ROUND(B9*MIN(Assumptions!B21+(6-Assumptions!B20)*Assumptions!B22,0.8),0),0)</f>
        <v>0</v>
      </c>
      <c r="H10" s="12" t="n">
        <f aca="false">IF(7&gt;=Assumptions!B20,ROUND(B9*MIN(Assumptions!B21+(7-Assumptions!B20)*Assumptions!B22,0.8),0),0)</f>
        <v>0</v>
      </c>
      <c r="I10" s="12" t="n">
        <f aca="false">IF(8&gt;=Assumptions!B20,ROUND(B9*MIN(Assumptions!B21+(8-Assumptions!B20)*Assumptions!B22,0.8),0),0)</f>
        <v>0</v>
      </c>
      <c r="J10" s="12" t="n">
        <f aca="false">IF(9&gt;=Assumptions!B20,ROUND(B9*MIN(Assumptions!B21+(9-Assumptions!B20)*Assumptions!B22,0.8),0),0)</f>
        <v>0</v>
      </c>
      <c r="K10" s="12" t="n">
        <f aca="false">IF(10&gt;=Assumptions!B20,ROUND(B9*MIN(Assumptions!B21+(10-Assumptions!B20)*Assumptions!B22,0.8),0),0)</f>
        <v>1</v>
      </c>
      <c r="L10" s="12" t="n">
        <f aca="false">IF(11&gt;=Assumptions!B20,ROUND(B9*MIN(Assumptions!B21+(11-Assumptions!B20)*Assumptions!B22,0.8),0),0)</f>
        <v>1</v>
      </c>
      <c r="M10" s="12" t="n">
        <f aca="false">IF(12&gt;=Assumptions!B20,ROUND(B9*MIN(Assumptions!B21+(12-Assumptions!B20)*Assumptions!B22,0.8),0),0)</f>
        <v>1</v>
      </c>
      <c r="N10" s="12" t="n">
        <f aca="false">IF(13&gt;=Assumptions!B20,ROUND(B9*MIN(Assumptions!B21+(13-Assumptions!B20)*Assumptions!B22,0.8),0),0)</f>
        <v>2</v>
      </c>
      <c r="O10" s="12" t="n">
        <f aca="false">IF(14&gt;=Assumptions!B20,ROUND(B9*MIN(Assumptions!B21+(14-Assumptions!B20)*Assumptions!B22,0.8),0),0)</f>
        <v>2</v>
      </c>
      <c r="P10" s="12" t="n">
        <f aca="false">IF(15&gt;=Assumptions!B20,ROUND(B9*MIN(Assumptions!B21+(15-Assumptions!B20)*Assumptions!B22,0.8),0),0)</f>
        <v>2</v>
      </c>
      <c r="Q10" s="12" t="n">
        <f aca="false">IF(16&gt;=Assumptions!B20,ROUND(B9*MIN(Assumptions!B21+(16-Assumptions!B20)*Assumptions!B22,0.8),0),0)</f>
        <v>2</v>
      </c>
      <c r="R10" s="12" t="n">
        <f aca="false">IF(17&gt;=Assumptions!B20,ROUND(B9*MIN(Assumptions!B21+(17-Assumptions!B20)*Assumptions!B22,0.8),0),0)</f>
        <v>3</v>
      </c>
      <c r="S10" s="12" t="n">
        <f aca="false">IF(18&gt;=Assumptions!B20,ROUND(B9*MIN(Assumptions!B21+(18-Assumptions!B20)*Assumptions!B22,0.8),0),0)</f>
        <v>3</v>
      </c>
      <c r="T10" s="12" t="n">
        <f aca="false">IF(19&gt;=Assumptions!B20,ROUND(B9*MIN(Assumptions!B21+(19-Assumptions!B20)*Assumptions!B22,0.8),0),0)</f>
        <v>3</v>
      </c>
      <c r="U10" s="12" t="n">
        <f aca="false">IF(20&gt;=Assumptions!B20,ROUND(B9*MIN(Assumptions!B21+(20-Assumptions!B20)*Assumptions!B22,0.8),0),0)</f>
        <v>3</v>
      </c>
      <c r="V10" s="12" t="n">
        <f aca="false">IF(21&gt;=Assumptions!B20,ROUND(B9*MIN(Assumptions!B21+(21-Assumptions!B20)*Assumptions!B22,0.8),0),0)</f>
        <v>4</v>
      </c>
      <c r="W10" s="12" t="n">
        <f aca="false">IF(22&gt;=Assumptions!B20,ROUND(B9*MIN(Assumptions!B21+(22-Assumptions!B20)*Assumptions!B22,0.8),0),0)</f>
        <v>4</v>
      </c>
      <c r="X10" s="12" t="n">
        <f aca="false">IF(23&gt;=Assumptions!B20,ROUND(B9*MIN(Assumptions!B21+(23-Assumptions!B20)*Assumptions!B22,0.8),0),0)</f>
        <v>4</v>
      </c>
      <c r="Y10" s="12" t="n">
        <f aca="false">IF(24&gt;=Assumptions!B20,ROUND(B9*MIN(Assumptions!B21+(24-Assumptions!B20)*Assumptions!B22,0.8),0),0)</f>
        <v>4</v>
      </c>
      <c r="Z10" s="12" t="n">
        <f aca="false">IF(25&gt;=Assumptions!B20,ROUND(B9*MIN(Assumptions!B21+(25-Assumptions!B20)*Assumptions!B22,0.8),0),0)</f>
        <v>4</v>
      </c>
      <c r="AA10" s="12" t="n">
        <f aca="false">IF(26&gt;=Assumptions!B20,ROUND(B9*MIN(Assumptions!B21+(26-Assumptions!B20)*Assumptions!B22,0.8),0),0)</f>
        <v>4</v>
      </c>
      <c r="AB10" s="12" t="n">
        <f aca="false">IF(27&gt;=Assumptions!B20,ROUND(B9*MIN(Assumptions!B21+(27-Assumptions!B20)*Assumptions!B22,0.8),0),0)</f>
        <v>4</v>
      </c>
      <c r="AC10" s="12" t="n">
        <f aca="false">IF(28&gt;=Assumptions!B20,ROUND(B9*MIN(Assumptions!B21+(28-Assumptions!B20)*Assumptions!B22,0.8),0),0)</f>
        <v>4</v>
      </c>
      <c r="AD10" s="12" t="n">
        <f aca="false">IF(29&gt;=Assumptions!B20,ROUND(B9*MIN(Assumptions!B21+(29-Assumptions!B20)*Assumptions!B22,0.8),0),0)</f>
        <v>4</v>
      </c>
      <c r="AE10" s="12" t="n">
        <f aca="false">IF(30&gt;=Assumptions!B20,ROUND(B9*MIN(Assumptions!B21+(30-Assumptions!B20)*Assumptions!B22,0.8),0),0)</f>
        <v>4</v>
      </c>
      <c r="AF10" s="12" t="n">
        <f aca="false">IF(31&gt;=Assumptions!B20,ROUND(B9*MIN(Assumptions!B21+(31-Assumptions!B20)*Assumptions!B22,0.8),0),0)</f>
        <v>4</v>
      </c>
      <c r="AG10" s="12" t="n">
        <f aca="false">IF(32&gt;=Assumptions!B20,ROUND(B9*MIN(Assumptions!B21+(32-Assumptions!B20)*Assumptions!B22,0.8),0),0)</f>
        <v>4</v>
      </c>
      <c r="AH10" s="12" t="n">
        <f aca="false">IF(33&gt;=Assumptions!B20,ROUND(B9*MIN(Assumptions!B21+(33-Assumptions!B20)*Assumptions!B22,0.8),0),0)</f>
        <v>4</v>
      </c>
      <c r="AI10" s="12" t="n">
        <f aca="false">IF(34&gt;=Assumptions!B20,ROUND(B9*MIN(Assumptions!B21+(34-Assumptions!B20)*Assumptions!B22,0.8),0),0)</f>
        <v>4</v>
      </c>
      <c r="AJ10" s="12" t="n">
        <f aca="false">IF(35&gt;=Assumptions!B20,ROUND(B9*MIN(Assumptions!B21+(35-Assumptions!B20)*Assumptions!B22,0.8),0),0)</f>
        <v>4</v>
      </c>
      <c r="AK10" s="12" t="n">
        <f aca="false">IF(36&gt;=Assumptions!B20,ROUND(B9*MIN(Assumptions!B21+(36-Assumptions!B20)*Assumptions!B22,0.8),0),0)</f>
        <v>4</v>
      </c>
    </row>
    <row r="12" customFormat="false" ht="15" hidden="false" customHeight="false" outlineLevel="0" collapsed="false">
      <c r="A12" s="3" t="s">
        <v>126</v>
      </c>
    </row>
    <row r="13" customFormat="false" ht="15" hidden="false" customHeight="false" outlineLevel="0" collapsed="false">
      <c r="A13" s="5" t="s">
        <v>127</v>
      </c>
      <c r="B13" s="14" t="n">
        <f aca="false">ROUND(Assumptions!B13*(1+Assumptions!B14)^(1-1),0)</f>
        <v>150000</v>
      </c>
      <c r="C13" s="14" t="n">
        <f aca="false">ROUND(Assumptions!B13*(1+Assumptions!B14)^(2-1),0)</f>
        <v>154500</v>
      </c>
      <c r="D13" s="14" t="n">
        <f aca="false">ROUND(Assumptions!B13*(1+Assumptions!B14)^(3-1),0)</f>
        <v>159135</v>
      </c>
      <c r="E13" s="14" t="n">
        <f aca="false">ROUND(Assumptions!B13*(1+Assumptions!B14)^(4-1),0)</f>
        <v>163909</v>
      </c>
      <c r="F13" s="14" t="n">
        <f aca="false">ROUND(Assumptions!B13*(1+Assumptions!B14)^(5-1),0)</f>
        <v>168826</v>
      </c>
      <c r="G13" s="14" t="n">
        <f aca="false">ROUND(Assumptions!B13*(1+Assumptions!B14)^(6-1),0)</f>
        <v>173891</v>
      </c>
      <c r="H13" s="14" t="n">
        <f aca="false">ROUND(Assumptions!B13*(1+Assumptions!B14)^(7-1),0)</f>
        <v>179108</v>
      </c>
      <c r="I13" s="14" t="n">
        <f aca="false">ROUND(Assumptions!B13*(1+Assumptions!B14)^(8-1),0)</f>
        <v>184481</v>
      </c>
      <c r="J13" s="14" t="n">
        <f aca="false">ROUND(Assumptions!B13*(1+Assumptions!B14)^(9-1),0)</f>
        <v>190016</v>
      </c>
      <c r="K13" s="14" t="n">
        <f aca="false">ROUND(Assumptions!B13*(1+Assumptions!B14)^(10-1),0)</f>
        <v>195716</v>
      </c>
      <c r="L13" s="14" t="n">
        <f aca="false">ROUND(Assumptions!B13*(1+Assumptions!B14)^(11-1),0)</f>
        <v>201587</v>
      </c>
      <c r="M13" s="14" t="n">
        <f aca="false">ROUND(Assumptions!B13*(1+Assumptions!B14)^(12-1),0)</f>
        <v>207635</v>
      </c>
      <c r="N13" s="14" t="n">
        <f aca="false">ROUND(Assumptions!B13*(1+Assumptions!B14)^(13-1),0)</f>
        <v>213864</v>
      </c>
      <c r="O13" s="14" t="n">
        <f aca="false">ROUND(Assumptions!B13*(1+Assumptions!B14)^(14-1),0)</f>
        <v>220280</v>
      </c>
      <c r="P13" s="14" t="n">
        <f aca="false">ROUND(Assumptions!B13*(1+Assumptions!B14)^(15-1),0)</f>
        <v>226888</v>
      </c>
      <c r="Q13" s="14" t="n">
        <f aca="false">ROUND(Assumptions!B13*(1+Assumptions!B14)^(16-1),0)</f>
        <v>233695</v>
      </c>
      <c r="R13" s="14" t="n">
        <f aca="false">ROUND(Assumptions!B13*(1+Assumptions!B14)^(17-1),0)</f>
        <v>240706</v>
      </c>
      <c r="S13" s="14" t="n">
        <f aca="false">ROUND(Assumptions!B13*(1+Assumptions!B14)^(18-1),0)</f>
        <v>247927</v>
      </c>
      <c r="T13" s="14" t="n">
        <f aca="false">ROUND(Assumptions!B13*(1+Assumptions!B14)^(19-1),0)</f>
        <v>255365</v>
      </c>
      <c r="U13" s="14" t="n">
        <f aca="false">ROUND(Assumptions!B13*(1+Assumptions!B14)^(20-1),0)</f>
        <v>263026</v>
      </c>
      <c r="V13" s="14" t="n">
        <f aca="false">ROUND(Assumptions!B13*(1+Assumptions!B14)^(21-1),0)</f>
        <v>270917</v>
      </c>
      <c r="W13" s="14" t="n">
        <f aca="false">ROUND(Assumptions!B13*(1+Assumptions!B14)^(22-1),0)</f>
        <v>279044</v>
      </c>
      <c r="X13" s="14" t="n">
        <f aca="false">ROUND(Assumptions!B13*(1+Assumptions!B14)^(23-1),0)</f>
        <v>287416</v>
      </c>
      <c r="Y13" s="14" t="n">
        <f aca="false">ROUND(Assumptions!B13*(1+Assumptions!B14)^(24-1),0)</f>
        <v>296038</v>
      </c>
      <c r="Z13" s="14" t="n">
        <f aca="false">ROUND(Assumptions!B13*(1+Assumptions!B14)^(25-1),0)</f>
        <v>304919</v>
      </c>
      <c r="AA13" s="14" t="n">
        <f aca="false">ROUND(Assumptions!B13*(1+Assumptions!B14)^(26-1),0)</f>
        <v>314067</v>
      </c>
      <c r="AB13" s="14" t="n">
        <f aca="false">ROUND(Assumptions!B13*(1+Assumptions!B14)^(27-1),0)</f>
        <v>323489</v>
      </c>
      <c r="AC13" s="14" t="n">
        <f aca="false">ROUND(Assumptions!B13*(1+Assumptions!B14)^(28-1),0)</f>
        <v>333193</v>
      </c>
      <c r="AD13" s="14" t="n">
        <f aca="false">ROUND(Assumptions!B13*(1+Assumptions!B14)^(29-1),0)</f>
        <v>343189</v>
      </c>
      <c r="AE13" s="14" t="n">
        <f aca="false">ROUND(Assumptions!B13*(1+Assumptions!B14)^(30-1),0)</f>
        <v>353485</v>
      </c>
      <c r="AF13" s="14" t="n">
        <f aca="false">ROUND(Assumptions!B13*(1+Assumptions!B14)^(31-1),0)</f>
        <v>364089</v>
      </c>
      <c r="AG13" s="14" t="n">
        <f aca="false">ROUND(Assumptions!B13*(1+Assumptions!B14)^(32-1),0)</f>
        <v>375012</v>
      </c>
      <c r="AH13" s="14" t="n">
        <f aca="false">ROUND(Assumptions!B13*(1+Assumptions!B14)^(33-1),0)</f>
        <v>386262</v>
      </c>
      <c r="AI13" s="14" t="n">
        <f aca="false">ROUND(Assumptions!B13*(1+Assumptions!B14)^(34-1),0)</f>
        <v>397850</v>
      </c>
      <c r="AJ13" s="14" t="n">
        <f aca="false">ROUND(Assumptions!B13*(1+Assumptions!B14)^(35-1),0)</f>
        <v>409786</v>
      </c>
      <c r="AK13" s="14" t="n">
        <f aca="false">ROUND(Assumptions!B13*(1+Assumptions!B14)^(36-1),0)</f>
        <v>422079</v>
      </c>
    </row>
    <row r="14" customFormat="false" ht="15" hidden="false" customHeight="false" outlineLevel="0" collapsed="false">
      <c r="A14" s="5" t="s">
        <v>128</v>
      </c>
      <c r="B14" s="14" t="n">
        <f aca="false">B9*B13</f>
        <v>750000</v>
      </c>
      <c r="C14" s="14" t="n">
        <f aca="false">C9*C13</f>
        <v>927000</v>
      </c>
      <c r="D14" s="14" t="n">
        <f aca="false">D9*D13</f>
        <v>1273080</v>
      </c>
      <c r="E14" s="14" t="n">
        <f aca="false">E9*E13</f>
        <v>1639090</v>
      </c>
      <c r="F14" s="14" t="n">
        <f aca="false">F9*F13</f>
        <v>2194738</v>
      </c>
      <c r="G14" s="14" t="n">
        <f aca="false">G9*G13</f>
        <v>2782256</v>
      </c>
      <c r="H14" s="14" t="n">
        <f aca="false">H9*H13</f>
        <v>3403052</v>
      </c>
      <c r="I14" s="14" t="n">
        <f aca="false">I9*I13</f>
        <v>4058582</v>
      </c>
      <c r="J14" s="14" t="n">
        <f aca="false">J9*J13</f>
        <v>4750400</v>
      </c>
      <c r="K14" s="14" t="n">
        <f aca="false">K9*K13</f>
        <v>5675764</v>
      </c>
      <c r="L14" s="14" t="n">
        <f aca="false">L9*L13</f>
        <v>6853958</v>
      </c>
      <c r="M14" s="14" t="n">
        <f aca="false">M9*M13</f>
        <v>8305400</v>
      </c>
      <c r="N14" s="14" t="n">
        <f aca="false">N9*N13</f>
        <v>9623880</v>
      </c>
      <c r="O14" s="14" t="n">
        <f aca="false">O9*O13</f>
        <v>11234280</v>
      </c>
      <c r="P14" s="14" t="n">
        <f aca="false">P9*P13</f>
        <v>12932616</v>
      </c>
      <c r="Q14" s="14" t="n">
        <f aca="false">Q9*Q13</f>
        <v>14956480</v>
      </c>
      <c r="R14" s="14" t="n">
        <f aca="false">R9*R13</f>
        <v>17330832</v>
      </c>
      <c r="S14" s="14" t="n">
        <f aca="false">S9*S13</f>
        <v>20082087</v>
      </c>
      <c r="T14" s="14" t="n">
        <f aca="false">T9*T13</f>
        <v>23238215</v>
      </c>
      <c r="U14" s="14" t="n">
        <f aca="false">U9*U13</f>
        <v>26828652</v>
      </c>
      <c r="V14" s="14" t="n">
        <f aca="false">V9*V13</f>
        <v>30884538</v>
      </c>
      <c r="W14" s="14" t="n">
        <f aca="false">W9*W13</f>
        <v>35717632</v>
      </c>
      <c r="X14" s="14" t="n">
        <f aca="false">X9*X13</f>
        <v>41100488</v>
      </c>
      <c r="Y14" s="14" t="n">
        <f aca="false">Y9*Y13</f>
        <v>47366080</v>
      </c>
      <c r="Z14" s="14" t="n">
        <f aca="false">Z9*Z13</f>
        <v>52141149</v>
      </c>
      <c r="AA14" s="14" t="n">
        <f aca="false">AA9*AA13</f>
        <v>57474261</v>
      </c>
      <c r="AB14" s="14" t="n">
        <f aca="false">AB9*AB13</f>
        <v>63403844</v>
      </c>
      <c r="AC14" s="14" t="n">
        <f aca="false">AC9*AC13</f>
        <v>69970530</v>
      </c>
      <c r="AD14" s="14" t="n">
        <f aca="false">AD9*AD13</f>
        <v>77217525</v>
      </c>
      <c r="AE14" s="14" t="n">
        <f aca="false">AE9*AE13</f>
        <v>85189885</v>
      </c>
      <c r="AF14" s="14" t="n">
        <f aca="false">AF9*AF13</f>
        <v>93934962</v>
      </c>
      <c r="AG14" s="14" t="n">
        <f aca="false">AG9*AG13</f>
        <v>103503312</v>
      </c>
      <c r="AH14" s="14" t="n">
        <f aca="false">AH9*AH13</f>
        <v>114333552</v>
      </c>
      <c r="AI14" s="14" t="n">
        <f aca="false">AI9*AI13</f>
        <v>126118450</v>
      </c>
      <c r="AJ14" s="14" t="n">
        <f aca="false">AJ9*AJ13</f>
        <v>138917454</v>
      </c>
      <c r="AK14" s="14" t="n">
        <f aca="false">AK9*AK13</f>
        <v>153214677</v>
      </c>
    </row>
    <row r="15" customFormat="false" ht="15" hidden="false" customHeight="false" outlineLevel="0" collapsed="false">
      <c r="A15" s="5" t="s">
        <v>129</v>
      </c>
      <c r="B15" s="14" t="n">
        <f aca="false">B14*Assumptions!B15</f>
        <v>60000</v>
      </c>
      <c r="C15" s="14" t="n">
        <f aca="false">C14*Assumptions!B15</f>
        <v>74160</v>
      </c>
      <c r="D15" s="14" t="n">
        <f aca="false">D14*Assumptions!B15</f>
        <v>101846.4</v>
      </c>
      <c r="E15" s="14" t="n">
        <f aca="false">E14*Assumptions!B15</f>
        <v>131127.2</v>
      </c>
      <c r="F15" s="14" t="n">
        <f aca="false">F14*Assumptions!B15</f>
        <v>175579.04</v>
      </c>
      <c r="G15" s="14" t="n">
        <f aca="false">G14*Assumptions!B15</f>
        <v>222580.48</v>
      </c>
      <c r="H15" s="14" t="n">
        <f aca="false">H14*Assumptions!B15</f>
        <v>272244.16</v>
      </c>
      <c r="I15" s="14" t="n">
        <f aca="false">I14*Assumptions!B15</f>
        <v>324686.56</v>
      </c>
      <c r="J15" s="14" t="n">
        <f aca="false">J14*Assumptions!B15</f>
        <v>380032</v>
      </c>
      <c r="K15" s="14" t="n">
        <f aca="false">K14*Assumptions!B15</f>
        <v>454061.12</v>
      </c>
      <c r="L15" s="14" t="n">
        <f aca="false">L14*Assumptions!B15</f>
        <v>548316.64</v>
      </c>
      <c r="M15" s="14" t="n">
        <f aca="false">M14*Assumptions!B15</f>
        <v>664432</v>
      </c>
      <c r="N15" s="14" t="n">
        <f aca="false">N14*Assumptions!B15</f>
        <v>769910.4</v>
      </c>
      <c r="O15" s="14" t="n">
        <f aca="false">O14*Assumptions!B15</f>
        <v>898742.4</v>
      </c>
      <c r="P15" s="14" t="n">
        <f aca="false">P14*Assumptions!B15</f>
        <v>1034609.28</v>
      </c>
      <c r="Q15" s="14" t="n">
        <f aca="false">Q14*Assumptions!B15</f>
        <v>1196518.4</v>
      </c>
      <c r="R15" s="14" t="n">
        <f aca="false">R14*Assumptions!B15</f>
        <v>1386466.56</v>
      </c>
      <c r="S15" s="14" t="n">
        <f aca="false">S14*Assumptions!B15</f>
        <v>1606566.96</v>
      </c>
      <c r="T15" s="14" t="n">
        <f aca="false">T14*Assumptions!B15</f>
        <v>1859057.2</v>
      </c>
      <c r="U15" s="14" t="n">
        <f aca="false">U14*Assumptions!B15</f>
        <v>2146292.16</v>
      </c>
      <c r="V15" s="14" t="n">
        <f aca="false">V14*Assumptions!B15</f>
        <v>2470763.04</v>
      </c>
      <c r="W15" s="14" t="n">
        <f aca="false">W14*Assumptions!B15</f>
        <v>2857410.56</v>
      </c>
      <c r="X15" s="14" t="n">
        <f aca="false">X14*Assumptions!B15</f>
        <v>3288039.04</v>
      </c>
      <c r="Y15" s="14" t="n">
        <f aca="false">Y14*Assumptions!B15</f>
        <v>3789286.4</v>
      </c>
      <c r="Z15" s="14" t="n">
        <f aca="false">Z14*Assumptions!B15</f>
        <v>4171291.92</v>
      </c>
      <c r="AA15" s="14" t="n">
        <f aca="false">AA14*Assumptions!B15</f>
        <v>4597940.88</v>
      </c>
      <c r="AB15" s="14" t="n">
        <f aca="false">AB14*Assumptions!B15</f>
        <v>5072307.52</v>
      </c>
      <c r="AC15" s="14" t="n">
        <f aca="false">AC14*Assumptions!B15</f>
        <v>5597642.4</v>
      </c>
      <c r="AD15" s="14" t="n">
        <f aca="false">AD14*Assumptions!B15</f>
        <v>6177402</v>
      </c>
      <c r="AE15" s="14" t="n">
        <f aca="false">AE14*Assumptions!B15</f>
        <v>6815190.8</v>
      </c>
      <c r="AF15" s="14" t="n">
        <f aca="false">AF14*Assumptions!B15</f>
        <v>7514796.96</v>
      </c>
      <c r="AG15" s="14" t="n">
        <f aca="false">AG14*Assumptions!B15</f>
        <v>8280264.96</v>
      </c>
      <c r="AH15" s="14" t="n">
        <f aca="false">AH14*Assumptions!B15</f>
        <v>9146684.16</v>
      </c>
      <c r="AI15" s="14" t="n">
        <f aca="false">AI14*Assumptions!B15</f>
        <v>10089476</v>
      </c>
      <c r="AJ15" s="14" t="n">
        <f aca="false">AJ14*Assumptions!B15</f>
        <v>11113396.32</v>
      </c>
      <c r="AK15" s="14" t="n">
        <f aca="false">AK14*Assumptions!B15</f>
        <v>12257174.16</v>
      </c>
    </row>
    <row r="16" customFormat="false" ht="15" hidden="false" customHeight="false" outlineLevel="0" collapsed="false">
      <c r="A16" s="5" t="s">
        <v>130</v>
      </c>
      <c r="B16" s="14" t="n">
        <f aca="false">B14*Assumptions!B17</f>
        <v>112500</v>
      </c>
      <c r="C16" s="14" t="n">
        <f aca="false">C14*Assumptions!B17</f>
        <v>139050</v>
      </c>
      <c r="D16" s="14" t="n">
        <f aca="false">D14*Assumptions!B17</f>
        <v>190962</v>
      </c>
      <c r="E16" s="14" t="n">
        <f aca="false">E14*Assumptions!B17</f>
        <v>245863.5</v>
      </c>
      <c r="F16" s="14" t="n">
        <f aca="false">F14*Assumptions!B17</f>
        <v>329210.7</v>
      </c>
      <c r="G16" s="14" t="n">
        <f aca="false">G14*Assumptions!B17</f>
        <v>417338.4</v>
      </c>
      <c r="H16" s="14" t="n">
        <f aca="false">H14*Assumptions!B17</f>
        <v>510457.8</v>
      </c>
      <c r="I16" s="14" t="n">
        <f aca="false">I14*Assumptions!B17</f>
        <v>608787.3</v>
      </c>
      <c r="J16" s="14" t="n">
        <f aca="false">J14*Assumptions!B17</f>
        <v>712560</v>
      </c>
      <c r="K16" s="14" t="n">
        <f aca="false">K14*Assumptions!B17</f>
        <v>851364.6</v>
      </c>
      <c r="L16" s="14" t="n">
        <f aca="false">L14*Assumptions!B17</f>
        <v>1028093.7</v>
      </c>
      <c r="M16" s="14" t="n">
        <f aca="false">M14*Assumptions!B17</f>
        <v>1245810</v>
      </c>
      <c r="N16" s="14" t="n">
        <f aca="false">N14*Assumptions!B17</f>
        <v>1443582</v>
      </c>
      <c r="O16" s="14" t="n">
        <f aca="false">O14*Assumptions!B17</f>
        <v>1685142</v>
      </c>
      <c r="P16" s="14" t="n">
        <f aca="false">P14*Assumptions!B17</f>
        <v>1939892.4</v>
      </c>
      <c r="Q16" s="14" t="n">
        <f aca="false">Q14*Assumptions!B17</f>
        <v>2243472</v>
      </c>
      <c r="R16" s="14" t="n">
        <f aca="false">R14*Assumptions!B17</f>
        <v>2599624.8</v>
      </c>
      <c r="S16" s="14" t="n">
        <f aca="false">S14*Assumptions!B17</f>
        <v>3012313.05</v>
      </c>
      <c r="T16" s="14" t="n">
        <f aca="false">T14*Assumptions!B17</f>
        <v>3485732.25</v>
      </c>
      <c r="U16" s="14" t="n">
        <f aca="false">U14*Assumptions!B17</f>
        <v>4024297.8</v>
      </c>
      <c r="V16" s="14" t="n">
        <f aca="false">V14*Assumptions!B17</f>
        <v>4632680.7</v>
      </c>
      <c r="W16" s="14" t="n">
        <f aca="false">W14*Assumptions!B17</f>
        <v>5357644.8</v>
      </c>
      <c r="X16" s="14" t="n">
        <f aca="false">X14*Assumptions!B17</f>
        <v>6165073.2</v>
      </c>
      <c r="Y16" s="14" t="n">
        <f aca="false">Y14*Assumptions!B17</f>
        <v>7104912</v>
      </c>
      <c r="Z16" s="14" t="n">
        <f aca="false">Z14*Assumptions!B17</f>
        <v>7821172.35</v>
      </c>
      <c r="AA16" s="14" t="n">
        <f aca="false">AA14*Assumptions!B17</f>
        <v>8621139.15</v>
      </c>
      <c r="AB16" s="14" t="n">
        <f aca="false">AB14*Assumptions!B17</f>
        <v>9510576.6</v>
      </c>
      <c r="AC16" s="14" t="n">
        <f aca="false">AC14*Assumptions!B17</f>
        <v>10495579.5</v>
      </c>
      <c r="AD16" s="14" t="n">
        <f aca="false">AD14*Assumptions!B17</f>
        <v>11582628.75</v>
      </c>
      <c r="AE16" s="14" t="n">
        <f aca="false">AE14*Assumptions!B17</f>
        <v>12778482.75</v>
      </c>
      <c r="AF16" s="14" t="n">
        <f aca="false">AF14*Assumptions!B17</f>
        <v>14090244.3</v>
      </c>
      <c r="AG16" s="14" t="n">
        <f aca="false">AG14*Assumptions!B17</f>
        <v>15525496.8</v>
      </c>
      <c r="AH16" s="14" t="n">
        <f aca="false">AH14*Assumptions!B17</f>
        <v>17150032.8</v>
      </c>
      <c r="AI16" s="14" t="n">
        <f aca="false">AI14*Assumptions!B17</f>
        <v>18917767.5</v>
      </c>
      <c r="AJ16" s="14" t="n">
        <f aca="false">AJ14*Assumptions!B17</f>
        <v>20837618.1</v>
      </c>
      <c r="AK16" s="14" t="n">
        <f aca="false">AK14*Assumptions!B17</f>
        <v>22982201.55</v>
      </c>
    </row>
    <row r="17" customFormat="false" ht="15" hidden="false" customHeight="false" outlineLevel="0" collapsed="false">
      <c r="A17" s="5" t="s">
        <v>131</v>
      </c>
      <c r="B17" s="14" t="n">
        <f aca="false">B16*Assumptions!B16</f>
        <v>22500</v>
      </c>
      <c r="C17" s="14" t="n">
        <f aca="false">C16*Assumptions!B16</f>
        <v>27810</v>
      </c>
      <c r="D17" s="14" t="n">
        <f aca="false">D16*Assumptions!B16</f>
        <v>38192.4</v>
      </c>
      <c r="E17" s="14" t="n">
        <f aca="false">E16*Assumptions!B16</f>
        <v>49172.7</v>
      </c>
      <c r="F17" s="14" t="n">
        <f aca="false">F16*Assumptions!B16</f>
        <v>65842.14</v>
      </c>
      <c r="G17" s="14" t="n">
        <f aca="false">G16*Assumptions!B16</f>
        <v>83467.68</v>
      </c>
      <c r="H17" s="14" t="n">
        <f aca="false">H16*Assumptions!B16</f>
        <v>102091.56</v>
      </c>
      <c r="I17" s="14" t="n">
        <f aca="false">I16*Assumptions!B16</f>
        <v>121757.46</v>
      </c>
      <c r="J17" s="14" t="n">
        <f aca="false">J16*Assumptions!B16</f>
        <v>142512</v>
      </c>
      <c r="K17" s="14" t="n">
        <f aca="false">K16*Assumptions!B16</f>
        <v>170272.92</v>
      </c>
      <c r="L17" s="14" t="n">
        <f aca="false">L16*Assumptions!B16</f>
        <v>205618.74</v>
      </c>
      <c r="M17" s="14" t="n">
        <f aca="false">M16*Assumptions!B16</f>
        <v>249162</v>
      </c>
      <c r="N17" s="14" t="n">
        <f aca="false">N16*Assumptions!B16</f>
        <v>288716.4</v>
      </c>
      <c r="O17" s="14" t="n">
        <f aca="false">O16*Assumptions!B16</f>
        <v>337028.4</v>
      </c>
      <c r="P17" s="14" t="n">
        <f aca="false">P16*Assumptions!B16</f>
        <v>387978.48</v>
      </c>
      <c r="Q17" s="14" t="n">
        <f aca="false">Q16*Assumptions!B16</f>
        <v>448694.4</v>
      </c>
      <c r="R17" s="14" t="n">
        <f aca="false">R16*Assumptions!B16</f>
        <v>519924.96</v>
      </c>
      <c r="S17" s="14" t="n">
        <f aca="false">S16*Assumptions!B16</f>
        <v>602462.61</v>
      </c>
      <c r="T17" s="14" t="n">
        <f aca="false">T16*Assumptions!B16</f>
        <v>697146.45</v>
      </c>
      <c r="U17" s="14" t="n">
        <f aca="false">U16*Assumptions!B16</f>
        <v>804859.56</v>
      </c>
      <c r="V17" s="14" t="n">
        <f aca="false">V16*Assumptions!B16</f>
        <v>926536.14</v>
      </c>
      <c r="W17" s="14" t="n">
        <f aca="false">W16*Assumptions!B16</f>
        <v>1071528.96</v>
      </c>
      <c r="X17" s="14" t="n">
        <f aca="false">X16*Assumptions!B16</f>
        <v>1233014.64</v>
      </c>
      <c r="Y17" s="14" t="n">
        <f aca="false">Y16*Assumptions!B16</f>
        <v>1420982.4</v>
      </c>
      <c r="Z17" s="14" t="n">
        <f aca="false">Z16*Assumptions!B16</f>
        <v>1564234.47</v>
      </c>
      <c r="AA17" s="14" t="n">
        <f aca="false">AA16*Assumptions!B16</f>
        <v>1724227.83</v>
      </c>
      <c r="AB17" s="14" t="n">
        <f aca="false">AB16*Assumptions!B16</f>
        <v>1902115.32</v>
      </c>
      <c r="AC17" s="14" t="n">
        <f aca="false">AC16*Assumptions!B16</f>
        <v>2099115.9</v>
      </c>
      <c r="AD17" s="14" t="n">
        <f aca="false">AD16*Assumptions!B16</f>
        <v>2316525.75</v>
      </c>
      <c r="AE17" s="14" t="n">
        <f aca="false">AE16*Assumptions!B16</f>
        <v>2555696.55</v>
      </c>
      <c r="AF17" s="14" t="n">
        <f aca="false">AF16*Assumptions!B16</f>
        <v>2818048.86</v>
      </c>
      <c r="AG17" s="14" t="n">
        <f aca="false">AG16*Assumptions!B16</f>
        <v>3105099.36</v>
      </c>
      <c r="AH17" s="14" t="n">
        <f aca="false">AH16*Assumptions!B16</f>
        <v>3430006.56</v>
      </c>
      <c r="AI17" s="14" t="n">
        <f aca="false">AI16*Assumptions!B16</f>
        <v>3783553.5</v>
      </c>
      <c r="AJ17" s="14" t="n">
        <f aca="false">AJ16*Assumptions!B16</f>
        <v>4167523.62</v>
      </c>
      <c r="AK17" s="14" t="n">
        <f aca="false">AK16*Assumptions!B16</f>
        <v>4596440.31</v>
      </c>
    </row>
    <row r="18" customFormat="false" ht="15" hidden="false" customHeight="false" outlineLevel="0" collapsed="false">
      <c r="A18" s="5" t="s">
        <v>132</v>
      </c>
      <c r="B18" s="14" t="n">
        <f aca="false">IF(1&gt;=Assumptions!B20,B10*Assumptions!B23*(1+Assumptions!B24)^(MAX(1-Assumptions!B20,0)),0)</f>
        <v>0</v>
      </c>
      <c r="C18" s="14" t="n">
        <f aca="false">IF(2&gt;=Assumptions!B20,C10*Assumptions!B23*(1+Assumptions!B24)^(MAX(2-Assumptions!B20,0)),0)</f>
        <v>0</v>
      </c>
      <c r="D18" s="14" t="n">
        <f aca="false">IF(3&gt;=Assumptions!B20,D10*Assumptions!B23*(1+Assumptions!B24)^(MAX(3-Assumptions!B20,0)),0)</f>
        <v>0</v>
      </c>
      <c r="E18" s="14" t="n">
        <f aca="false">IF(4&gt;=Assumptions!B20,E10*Assumptions!B23*(1+Assumptions!B24)^(MAX(4-Assumptions!B20,0)),0)</f>
        <v>0</v>
      </c>
      <c r="F18" s="14" t="n">
        <f aca="false">IF(5&gt;=Assumptions!B20,F10*Assumptions!B23*(1+Assumptions!B24)^(MAX(5-Assumptions!B20,0)),0)</f>
        <v>0</v>
      </c>
      <c r="G18" s="14" t="n">
        <f aca="false">IF(6&gt;=Assumptions!B20,G10*Assumptions!B23*(1+Assumptions!B24)^(MAX(6-Assumptions!B20,0)),0)</f>
        <v>0</v>
      </c>
      <c r="H18" s="14" t="n">
        <f aca="false">IF(7&gt;=Assumptions!B20,H10*Assumptions!B23*(1+Assumptions!B24)^(MAX(7-Assumptions!B20,0)),0)</f>
        <v>0</v>
      </c>
      <c r="I18" s="14" t="n">
        <f aca="false">IF(8&gt;=Assumptions!B20,I10*Assumptions!B23*(1+Assumptions!B24)^(MAX(8-Assumptions!B20,0)),0)</f>
        <v>0</v>
      </c>
      <c r="J18" s="14" t="n">
        <f aca="false">IF(9&gt;=Assumptions!B20,J10*Assumptions!B23*(1+Assumptions!B24)^(MAX(9-Assumptions!B20,0)),0)</f>
        <v>0</v>
      </c>
      <c r="K18" s="14" t="n">
        <f aca="false">IF(10&gt;=Assumptions!B20,K10*Assumptions!B23*(1+Assumptions!B24)^(MAX(10-Assumptions!B20,0)),0)</f>
        <v>50000</v>
      </c>
      <c r="L18" s="14" t="n">
        <f aca="false">IF(11&gt;=Assumptions!B20,L10*Assumptions!B23*(1+Assumptions!B24)^(MAX(11-Assumptions!B20,0)),0)</f>
        <v>52500</v>
      </c>
      <c r="M18" s="14" t="n">
        <f aca="false">IF(12&gt;=Assumptions!B20,M10*Assumptions!B23*(1+Assumptions!B24)^(MAX(12-Assumptions!B20,0)),0)</f>
        <v>55125</v>
      </c>
      <c r="N18" s="14" t="n">
        <f aca="false">IF(13&gt;=Assumptions!B20,N10*Assumptions!B23*(1+Assumptions!B24)^(MAX(13-Assumptions!B20,0)),0)</f>
        <v>115762.5</v>
      </c>
      <c r="O18" s="14" t="n">
        <f aca="false">IF(14&gt;=Assumptions!B20,O10*Assumptions!B23*(1+Assumptions!B24)^(MAX(14-Assumptions!B20,0)),0)</f>
        <v>121550.625</v>
      </c>
      <c r="P18" s="14" t="n">
        <f aca="false">IF(15&gt;=Assumptions!B20,P10*Assumptions!B23*(1+Assumptions!B24)^(MAX(15-Assumptions!B20,0)),0)</f>
        <v>127628.15625</v>
      </c>
      <c r="Q18" s="14" t="n">
        <f aca="false">IF(16&gt;=Assumptions!B20,Q10*Assumptions!B23*(1+Assumptions!B24)^(MAX(16-Assumptions!B20,0)),0)</f>
        <v>134009.5640625</v>
      </c>
      <c r="R18" s="14" t="n">
        <f aca="false">IF(17&gt;=Assumptions!B20,R10*Assumptions!B23*(1+Assumptions!B24)^(MAX(17-Assumptions!B20,0)),0)</f>
        <v>211065.063398438</v>
      </c>
      <c r="S18" s="14" t="n">
        <f aca="false">IF(18&gt;=Assumptions!B20,S10*Assumptions!B23*(1+Assumptions!B24)^(MAX(18-Assumptions!B20,0)),0)</f>
        <v>221618.316568359</v>
      </c>
      <c r="T18" s="14" t="n">
        <f aca="false">IF(19&gt;=Assumptions!B20,T10*Assumptions!B23*(1+Assumptions!B24)^(MAX(19-Assumptions!B20,0)),0)</f>
        <v>232699.232396777</v>
      </c>
      <c r="U18" s="14" t="n">
        <f aca="false">IF(20&gt;=Assumptions!B20,U10*Assumptions!B23*(1+Assumptions!B24)^(MAX(20-Assumptions!B20,0)),0)</f>
        <v>244334.194016616</v>
      </c>
      <c r="V18" s="14" t="n">
        <f aca="false">IF(21&gt;=Assumptions!B20,V10*Assumptions!B23*(1+Assumptions!B24)^(MAX(21-Assumptions!B20,0)),0)</f>
        <v>342067.871623263</v>
      </c>
      <c r="W18" s="14" t="n">
        <f aca="false">IF(22&gt;=Assumptions!B20,W10*Assumptions!B23*(1+Assumptions!B24)^(MAX(22-Assumptions!B20,0)),0)</f>
        <v>359171.265204426</v>
      </c>
      <c r="X18" s="14" t="n">
        <f aca="false">IF(23&gt;=Assumptions!B20,X10*Assumptions!B23*(1+Assumptions!B24)^(MAX(23-Assumptions!B20,0)),0)</f>
        <v>377129.828464647</v>
      </c>
      <c r="Y18" s="14" t="n">
        <f aca="false">IF(24&gt;=Assumptions!B20,Y10*Assumptions!B23*(1+Assumptions!B24)^(MAX(24-Assumptions!B20,0)),0)</f>
        <v>395986.31988788</v>
      </c>
      <c r="Z18" s="14" t="n">
        <f aca="false">IF(25&gt;=Assumptions!B20,Z10*Assumptions!B23*(1+Assumptions!B24)^(MAX(25-Assumptions!B20,0)),0)</f>
        <v>415785.635882274</v>
      </c>
      <c r="AA18" s="14" t="n">
        <f aca="false">IF(26&gt;=Assumptions!B20,AA10*Assumptions!B23*(1+Assumptions!B24)^(MAX(26-Assumptions!B20,0)),0)</f>
        <v>436574.917676387</v>
      </c>
      <c r="AB18" s="14" t="n">
        <f aca="false">IF(27&gt;=Assumptions!B20,AB10*Assumptions!B23*(1+Assumptions!B24)^(MAX(27-Assumptions!B20,0)),0)</f>
        <v>458403.663560207</v>
      </c>
      <c r="AC18" s="14" t="n">
        <f aca="false">IF(28&gt;=Assumptions!B20,AC10*Assumptions!B23*(1+Assumptions!B24)^(MAX(28-Assumptions!B20,0)),0)</f>
        <v>481323.846738217</v>
      </c>
      <c r="AD18" s="14" t="n">
        <f aca="false">IF(29&gt;=Assumptions!B20,AD10*Assumptions!B23*(1+Assumptions!B24)^(MAX(29-Assumptions!B20,0)),0)</f>
        <v>505390.039075128</v>
      </c>
      <c r="AE18" s="14" t="n">
        <f aca="false">IF(30&gt;=Assumptions!B20,AE10*Assumptions!B23*(1+Assumptions!B24)^(MAX(30-Assumptions!B20,0)),0)</f>
        <v>530659.541028885</v>
      </c>
      <c r="AF18" s="14" t="n">
        <f aca="false">IF(31&gt;=Assumptions!B20,AF10*Assumptions!B23*(1+Assumptions!B24)^(MAX(31-Assumptions!B20,0)),0)</f>
        <v>557192.518080329</v>
      </c>
      <c r="AG18" s="14" t="n">
        <f aca="false">IF(32&gt;=Assumptions!B20,AG10*Assumptions!B23*(1+Assumptions!B24)^(MAX(32-Assumptions!B20,0)),0)</f>
        <v>585052.143984345</v>
      </c>
      <c r="AH18" s="14" t="n">
        <f aca="false">IF(33&gt;=Assumptions!B20,AH10*Assumptions!B23*(1+Assumptions!B24)^(MAX(33-Assumptions!B20,0)),0)</f>
        <v>614304.751183562</v>
      </c>
      <c r="AI18" s="14" t="n">
        <f aca="false">IF(34&gt;=Assumptions!B20,AI10*Assumptions!B23*(1+Assumptions!B24)^(MAX(34-Assumptions!B20,0)),0)</f>
        <v>645019.988742741</v>
      </c>
      <c r="AJ18" s="14" t="n">
        <f aca="false">IF(35&gt;=Assumptions!B20,AJ10*Assumptions!B23*(1+Assumptions!B24)^(MAX(35-Assumptions!B20,0)),0)</f>
        <v>677270.988179878</v>
      </c>
      <c r="AK18" s="14" t="n">
        <f aca="false">IF(36&gt;=Assumptions!B20,AK10*Assumptions!B23*(1+Assumptions!B24)^(MAX(36-Assumptions!B20,0)),0)</f>
        <v>711134.537588872</v>
      </c>
    </row>
    <row r="19" customFormat="false" ht="15" hidden="false" customHeight="false" outlineLevel="0" collapsed="false">
      <c r="A19" s="5" t="s">
        <v>133</v>
      </c>
      <c r="B19" s="14" t="n">
        <f aca="false">B18*Assumptions!B25</f>
        <v>0</v>
      </c>
      <c r="C19" s="14" t="n">
        <f aca="false">C18*Assumptions!B25</f>
        <v>0</v>
      </c>
      <c r="D19" s="14" t="n">
        <f aca="false">D18*Assumptions!B25</f>
        <v>0</v>
      </c>
      <c r="E19" s="14" t="n">
        <f aca="false">E18*Assumptions!B25</f>
        <v>0</v>
      </c>
      <c r="F19" s="14" t="n">
        <f aca="false">F18*Assumptions!B25</f>
        <v>0</v>
      </c>
      <c r="G19" s="14" t="n">
        <f aca="false">G18*Assumptions!B25</f>
        <v>0</v>
      </c>
      <c r="H19" s="14" t="n">
        <f aca="false">H18*Assumptions!B25</f>
        <v>0</v>
      </c>
      <c r="I19" s="14" t="n">
        <f aca="false">I18*Assumptions!B25</f>
        <v>0</v>
      </c>
      <c r="J19" s="14" t="n">
        <f aca="false">J18*Assumptions!B25</f>
        <v>0</v>
      </c>
      <c r="K19" s="14" t="n">
        <f aca="false">K18*Assumptions!B25</f>
        <v>2500</v>
      </c>
      <c r="L19" s="14" t="n">
        <f aca="false">L18*Assumptions!B25</f>
        <v>2625</v>
      </c>
      <c r="M19" s="14" t="n">
        <f aca="false">M18*Assumptions!B25</f>
        <v>2756.25</v>
      </c>
      <c r="N19" s="14" t="n">
        <f aca="false">N18*Assumptions!B25</f>
        <v>5788.125</v>
      </c>
      <c r="O19" s="14" t="n">
        <f aca="false">O18*Assumptions!B25</f>
        <v>6077.53125</v>
      </c>
      <c r="P19" s="14" t="n">
        <f aca="false">P18*Assumptions!B25</f>
        <v>6381.4078125</v>
      </c>
      <c r="Q19" s="14" t="n">
        <f aca="false">Q18*Assumptions!B25</f>
        <v>6700.478203125</v>
      </c>
      <c r="R19" s="14" t="n">
        <f aca="false">R18*Assumptions!B25</f>
        <v>10553.2531699219</v>
      </c>
      <c r="S19" s="14" t="n">
        <f aca="false">S18*Assumptions!B25</f>
        <v>11080.915828418</v>
      </c>
      <c r="T19" s="14" t="n">
        <f aca="false">T18*Assumptions!B25</f>
        <v>11634.9616198389</v>
      </c>
      <c r="U19" s="14" t="n">
        <f aca="false">U18*Assumptions!B25</f>
        <v>12216.7097008308</v>
      </c>
      <c r="V19" s="14" t="n">
        <f aca="false">V18*Assumptions!B25</f>
        <v>17103.3935811631</v>
      </c>
      <c r="W19" s="14" t="n">
        <f aca="false">W18*Assumptions!B25</f>
        <v>17958.5632602213</v>
      </c>
      <c r="X19" s="14" t="n">
        <f aca="false">X18*Assumptions!B25</f>
        <v>18856.4914232324</v>
      </c>
      <c r="Y19" s="14" t="n">
        <f aca="false">Y18*Assumptions!B25</f>
        <v>19799.315994394</v>
      </c>
      <c r="Z19" s="14" t="n">
        <f aca="false">Z18*Assumptions!B25</f>
        <v>20789.2817941137</v>
      </c>
      <c r="AA19" s="14" t="n">
        <f aca="false">AA18*Assumptions!B25</f>
        <v>21828.7458838194</v>
      </c>
      <c r="AB19" s="14" t="n">
        <f aca="false">AB18*Assumptions!B25</f>
        <v>22920.1831780103</v>
      </c>
      <c r="AC19" s="14" t="n">
        <f aca="false">AC18*Assumptions!B25</f>
        <v>24066.1923369109</v>
      </c>
      <c r="AD19" s="14" t="n">
        <f aca="false">AD18*Assumptions!B25</f>
        <v>25269.5019537564</v>
      </c>
      <c r="AE19" s="14" t="n">
        <f aca="false">AE18*Assumptions!B25</f>
        <v>26532.9770514442</v>
      </c>
      <c r="AF19" s="14" t="n">
        <f aca="false">AF18*Assumptions!B25</f>
        <v>27859.6259040164</v>
      </c>
      <c r="AG19" s="14" t="n">
        <f aca="false">AG18*Assumptions!B25</f>
        <v>29252.6071992173</v>
      </c>
      <c r="AH19" s="14" t="n">
        <f aca="false">AH18*Assumptions!B25</f>
        <v>30715.2375591781</v>
      </c>
      <c r="AI19" s="14" t="n">
        <f aca="false">AI18*Assumptions!B25</f>
        <v>32250.999437137</v>
      </c>
      <c r="AJ19" s="14" t="n">
        <f aca="false">AJ18*Assumptions!B25</f>
        <v>33863.5494089939</v>
      </c>
      <c r="AK19" s="14" t="n">
        <f aca="false">AK18*Assumptions!B25</f>
        <v>35556.7268794436</v>
      </c>
    </row>
    <row r="20" customFormat="false" ht="15" hidden="false" customHeight="false" outlineLevel="0" collapsed="false">
      <c r="A20" s="5" t="s">
        <v>134</v>
      </c>
      <c r="B20" s="14" t="n">
        <f aca="false">IF(1&gt;=Assumptions!B28,(B14+B18)*Assumptions!B29*Assumptions!B30,0)</f>
        <v>0</v>
      </c>
      <c r="C20" s="14" t="n">
        <f aca="false">IF(2&gt;=Assumptions!B28,(C14+C18)*Assumptions!B29*Assumptions!B30,0)</f>
        <v>0</v>
      </c>
      <c r="D20" s="14" t="n">
        <f aca="false">IF(3&gt;=Assumptions!B28,(D14+D18)*Assumptions!B29*Assumptions!B30,0)</f>
        <v>0</v>
      </c>
      <c r="E20" s="14" t="n">
        <f aca="false">IF(4&gt;=Assumptions!B28,(E14+E18)*Assumptions!B29*Assumptions!B30,0)</f>
        <v>0</v>
      </c>
      <c r="F20" s="14" t="n">
        <f aca="false">IF(5&gt;=Assumptions!B28,(F14+F18)*Assumptions!B29*Assumptions!B30,0)</f>
        <v>0</v>
      </c>
      <c r="G20" s="14" t="n">
        <f aca="false">IF(6&gt;=Assumptions!B28,(G14+G18)*Assumptions!B29*Assumptions!B30,0)</f>
        <v>0</v>
      </c>
      <c r="H20" s="14" t="n">
        <f aca="false">IF(7&gt;=Assumptions!B28,(H14+H18)*Assumptions!B29*Assumptions!B30,0)</f>
        <v>0</v>
      </c>
      <c r="I20" s="14" t="n">
        <f aca="false">IF(8&gt;=Assumptions!B28,(I14+I18)*Assumptions!B29*Assumptions!B30,0)</f>
        <v>0</v>
      </c>
      <c r="J20" s="14" t="n">
        <f aca="false">IF(9&gt;=Assumptions!B28,(J14+J18)*Assumptions!B29*Assumptions!B30,0)</f>
        <v>0</v>
      </c>
      <c r="K20" s="14" t="n">
        <f aca="false">IF(10&gt;=Assumptions!B28,(K14+K18)*Assumptions!B29*Assumptions!B30,0)</f>
        <v>8588.646</v>
      </c>
      <c r="L20" s="14" t="n">
        <f aca="false">IF(11&gt;=Assumptions!B28,(L14+L18)*Assumptions!B29*Assumptions!B30,0)</f>
        <v>10359.687</v>
      </c>
      <c r="M20" s="14" t="n">
        <f aca="false">IF(12&gt;=Assumptions!B28,(M14+M18)*Assumptions!B29*Assumptions!B30,0)</f>
        <v>12540.7875</v>
      </c>
      <c r="N20" s="14" t="n">
        <f aca="false">IF(13&gt;=Assumptions!B28,(N14+N18)*Assumptions!B29*Assumptions!B30,0)</f>
        <v>14609.46375</v>
      </c>
      <c r="O20" s="14" t="n">
        <f aca="false">IF(14&gt;=Assumptions!B28,(O14+O18)*Assumptions!B29*Assumptions!B30,0)</f>
        <v>17033.7459375</v>
      </c>
      <c r="P20" s="14" t="n">
        <f aca="false">IF(15&gt;=Assumptions!B28,(P14+P18)*Assumptions!B29*Assumptions!B30,0)</f>
        <v>19590.366234375</v>
      </c>
      <c r="Q20" s="14" t="n">
        <f aca="false">IF(16&gt;=Assumptions!B28,(Q14+Q18)*Assumptions!B29*Assumptions!B30,0)</f>
        <v>22635.7343460938</v>
      </c>
      <c r="R20" s="14" t="n">
        <f aca="false">IF(17&gt;=Assumptions!B28,(R14+R18)*Assumptions!B29*Assumptions!B30,0)</f>
        <v>26312.8455950977</v>
      </c>
      <c r="S20" s="14" t="n">
        <f aca="false">IF(18&gt;=Assumptions!B28,(S14+S18)*Assumptions!B29*Assumptions!B30,0)</f>
        <v>30455.5579748525</v>
      </c>
      <c r="T20" s="14" t="n">
        <f aca="false">IF(19&gt;=Assumptions!B28,(T14+T18)*Assumptions!B29*Assumptions!B30,0)</f>
        <v>35206.3713485952</v>
      </c>
      <c r="U20" s="14" t="n">
        <f aca="false">IF(20&gt;=Assumptions!B28,(U14+U18)*Assumptions!B29*Assumptions!B30,0)</f>
        <v>40609.4792910249</v>
      </c>
      <c r="V20" s="14" t="n">
        <f aca="false">IF(21&gt;=Assumptions!B28,(V14+V18)*Assumptions!B29*Assumptions!B30,0)</f>
        <v>46839.9088074349</v>
      </c>
      <c r="W20" s="14" t="n">
        <f aca="false">IF(22&gt;=Assumptions!B28,(W14+W18)*Assumptions!B29*Assumptions!B30,0)</f>
        <v>54115.2048978066</v>
      </c>
      <c r="X20" s="14" t="n">
        <f aca="false">IF(23&gt;=Assumptions!B28,(X14+X18)*Assumptions!B29*Assumptions!B30,0)</f>
        <v>62216.426742697</v>
      </c>
      <c r="Y20" s="14" t="n">
        <f aca="false">IF(24&gt;=Assumptions!B28,(Y14+Y18)*Assumptions!B29*Assumptions!B30,0)</f>
        <v>71643.0994798318</v>
      </c>
      <c r="Z20" s="14" t="n">
        <f aca="false">IF(25&gt;=Assumptions!B28,(Z14+Z18)*Assumptions!B29*Assumptions!B30,0)</f>
        <v>78835.4019538234</v>
      </c>
      <c r="AA20" s="14" t="n">
        <f aca="false">IF(26&gt;=Assumptions!B28,(AA14+AA18)*Assumptions!B29*Assumptions!B30,0)</f>
        <v>86866.2538765146</v>
      </c>
      <c r="AB20" s="14" t="n">
        <f aca="false">IF(27&gt;=Assumptions!B28,(AB14+AB18)*Assumptions!B29*Assumptions!B30,0)</f>
        <v>95793.3714953403</v>
      </c>
      <c r="AC20" s="14" t="n">
        <f aca="false">IF(28&gt;=Assumptions!B28,(AC14+AC18)*Assumptions!B29*Assumptions!B30,0)</f>
        <v>105677.780770107</v>
      </c>
      <c r="AD20" s="14" t="n">
        <f aca="false">IF(29&gt;=Assumptions!B28,(AD14+AD18)*Assumptions!B29*Assumptions!B30,0)</f>
        <v>116584.372558613</v>
      </c>
      <c r="AE20" s="14" t="n">
        <f aca="false">IF(30&gt;=Assumptions!B28,(AE14+AE18)*Assumptions!B29*Assumptions!B30,0)</f>
        <v>128580.816811543</v>
      </c>
      <c r="AF20" s="14" t="n">
        <f aca="false">IF(31&gt;=Assumptions!B28,(AF14+AF18)*Assumptions!B29*Assumptions!B30,0)</f>
        <v>141738.231777121</v>
      </c>
      <c r="AG20" s="14" t="n">
        <f aca="false">IF(32&gt;=Assumptions!B28,(AG14+AG18)*Assumptions!B29*Assumptions!B30,0)</f>
        <v>156132.546215977</v>
      </c>
      <c r="AH20" s="14" t="n">
        <f aca="false">IF(33&gt;=Assumptions!B28,(AH14+AH18)*Assumptions!B29*Assumptions!B30,0)</f>
        <v>172421.785126775</v>
      </c>
      <c r="AI20" s="14" t="n">
        <f aca="false">IF(34&gt;=Assumptions!B28,(AI14+AI18)*Assumptions!B29*Assumptions!B30,0)</f>
        <v>190145.204983114</v>
      </c>
      <c r="AJ20" s="14" t="n">
        <f aca="false">IF(35&gt;=Assumptions!B28,(AJ14+AJ18)*Assumptions!B29*Assumptions!B30,0)</f>
        <v>209392.08748227</v>
      </c>
      <c r="AK20" s="14" t="n">
        <f aca="false">IF(36&gt;=Assumptions!B28,(AK14+AK18)*Assumptions!B29*Assumptions!B30,0)</f>
        <v>230888.717306383</v>
      </c>
    </row>
    <row r="21" customFormat="false" ht="15" hidden="false" customHeight="false" outlineLevel="0" collapsed="false">
      <c r="A21" s="15" t="s">
        <v>135</v>
      </c>
      <c r="B21" s="16" t="n">
        <f aca="false">B15+B17+B19+B20</f>
        <v>82500</v>
      </c>
      <c r="C21" s="16" t="n">
        <f aca="false">C15+C17+C19+C20</f>
        <v>101970</v>
      </c>
      <c r="D21" s="16" t="n">
        <f aca="false">D15+D17+D19+D20</f>
        <v>140038.8</v>
      </c>
      <c r="E21" s="16" t="n">
        <f aca="false">E15+E17+E19+E20</f>
        <v>180299.9</v>
      </c>
      <c r="F21" s="16" t="n">
        <f aca="false">F15+F17+F19+F20</f>
        <v>241421.18</v>
      </c>
      <c r="G21" s="16" t="n">
        <f aca="false">G15+G17+G19+G20</f>
        <v>306048.16</v>
      </c>
      <c r="H21" s="16" t="n">
        <f aca="false">H15+H17+H19+H20</f>
        <v>374335.72</v>
      </c>
      <c r="I21" s="16" t="n">
        <f aca="false">I15+I17+I19+I20</f>
        <v>446444.02</v>
      </c>
      <c r="J21" s="16" t="n">
        <f aca="false">J15+J17+J19+J20</f>
        <v>522544</v>
      </c>
      <c r="K21" s="16" t="n">
        <f aca="false">K15+K17+K19+K20</f>
        <v>635422.686</v>
      </c>
      <c r="L21" s="16" t="n">
        <f aca="false">L15+L17+L19+L20</f>
        <v>766920.067</v>
      </c>
      <c r="M21" s="16" t="n">
        <f aca="false">M15+M17+M19+M20</f>
        <v>928891.0375</v>
      </c>
      <c r="N21" s="16" t="n">
        <f aca="false">N15+N17+N19+N20</f>
        <v>1079024.38875</v>
      </c>
      <c r="O21" s="16" t="n">
        <f aca="false">O15+O17+O19+O20</f>
        <v>1258882.0771875</v>
      </c>
      <c r="P21" s="16" t="n">
        <f aca="false">P15+P17+P19+P20</f>
        <v>1448559.53404687</v>
      </c>
      <c r="Q21" s="16" t="n">
        <f aca="false">Q15+Q17+Q19+Q20</f>
        <v>1674549.01254922</v>
      </c>
      <c r="R21" s="16" t="n">
        <f aca="false">R15+R17+R19+R20</f>
        <v>1943257.61876502</v>
      </c>
      <c r="S21" s="16" t="n">
        <f aca="false">S15+S17+S19+S20</f>
        <v>2250566.04380327</v>
      </c>
      <c r="T21" s="16" t="n">
        <f aca="false">T15+T17+T19+T20</f>
        <v>2603044.98296843</v>
      </c>
      <c r="U21" s="16" t="n">
        <f aca="false">U15+U17+U19+U20</f>
        <v>3003977.90899186</v>
      </c>
      <c r="V21" s="16" t="n">
        <f aca="false">V15+V17+V19+V20</f>
        <v>3461242.4823886</v>
      </c>
      <c r="W21" s="16" t="n">
        <f aca="false">W15+W17+W19+W20</f>
        <v>4001013.28815803</v>
      </c>
      <c r="X21" s="16" t="n">
        <f aca="false">X15+X17+X19+X20</f>
        <v>4602126.59816593</v>
      </c>
      <c r="Y21" s="16" t="n">
        <f aca="false">Y15+Y17+Y19+Y20</f>
        <v>5301711.21547423</v>
      </c>
      <c r="Z21" s="16" t="n">
        <f aca="false">Z15+Z17+Z19+Z20</f>
        <v>5835151.07374794</v>
      </c>
      <c r="AA21" s="16" t="n">
        <f aca="false">AA15+AA17+AA19+AA20</f>
        <v>6430863.70976033</v>
      </c>
      <c r="AB21" s="16" t="n">
        <f aca="false">AB15+AB17+AB19+AB20</f>
        <v>7093136.39467335</v>
      </c>
      <c r="AC21" s="16" t="n">
        <f aca="false">AC15+AC17+AC19+AC20</f>
        <v>7826502.27310702</v>
      </c>
      <c r="AD21" s="16" t="n">
        <f aca="false">AD15+AD17+AD19+AD20</f>
        <v>8635781.62451237</v>
      </c>
      <c r="AE21" s="16" t="n">
        <f aca="false">AE15+AE17+AE19+AE20</f>
        <v>9526001.14386299</v>
      </c>
      <c r="AF21" s="16" t="n">
        <f aca="false">AF15+AF17+AF19+AF20</f>
        <v>10502443.6776811</v>
      </c>
      <c r="AG21" s="16" t="n">
        <f aca="false">AG15+AG17+AG19+AG20</f>
        <v>11570749.4734152</v>
      </c>
      <c r="AH21" s="16" t="n">
        <f aca="false">AH15+AH17+AH19+AH20</f>
        <v>12779827.742686</v>
      </c>
      <c r="AI21" s="16" t="n">
        <f aca="false">AI15+AI17+AI19+AI20</f>
        <v>14095425.7044203</v>
      </c>
      <c r="AJ21" s="16" t="n">
        <f aca="false">AJ15+AJ17+AJ19+AJ20</f>
        <v>15524175.5768913</v>
      </c>
      <c r="AK21" s="16" t="n">
        <f aca="false">AK15+AK17+AK19+AK20</f>
        <v>17120059.9141858</v>
      </c>
    </row>
    <row r="23" customFormat="false" ht="15" hidden="false" customHeight="false" outlineLevel="0" collapsed="false">
      <c r="A23" s="3" t="s">
        <v>51</v>
      </c>
    </row>
    <row r="24" customFormat="false" ht="15" hidden="false" customHeight="false" outlineLevel="0" collapsed="false">
      <c r="A24" s="5" t="s">
        <v>136</v>
      </c>
      <c r="B24" s="14" t="n">
        <f aca="false">Assumptions!B33*(1+Assumptions!B34)^(1-1)</f>
        <v>800000</v>
      </c>
      <c r="C24" s="14" t="n">
        <f aca="false">Assumptions!B33*(1+Assumptions!B34)^(2-1)</f>
        <v>864000</v>
      </c>
      <c r="D24" s="14" t="n">
        <f aca="false">Assumptions!B33*(1+Assumptions!B34)^(3-1)</f>
        <v>933120</v>
      </c>
      <c r="E24" s="14" t="n">
        <f aca="false">Assumptions!B33*(1+Assumptions!B34)^(4-1)</f>
        <v>1007769.6</v>
      </c>
      <c r="F24" s="14" t="n">
        <f aca="false">Assumptions!B33*(1+Assumptions!B34)^(5-1)</f>
        <v>1088391.168</v>
      </c>
      <c r="G24" s="14" t="n">
        <f aca="false">Assumptions!B33*(1+Assumptions!B34)^(6-1)</f>
        <v>1175462.46144</v>
      </c>
      <c r="H24" s="14" t="n">
        <f aca="false">Assumptions!B33*(1+Assumptions!B34)^(7-1)</f>
        <v>1269499.4583552</v>
      </c>
      <c r="I24" s="14" t="n">
        <f aca="false">Assumptions!B33*(1+Assumptions!B34)^(8-1)</f>
        <v>1371059.41502362</v>
      </c>
      <c r="J24" s="14" t="n">
        <f aca="false">Assumptions!B33*(1+Assumptions!B34)^(9-1)</f>
        <v>1480744.16822551</v>
      </c>
      <c r="K24" s="14" t="n">
        <f aca="false">Assumptions!B33*(1+Assumptions!B34)^(10-1)</f>
        <v>1599203.70168355</v>
      </c>
      <c r="L24" s="14" t="n">
        <f aca="false">Assumptions!B33*(1+Assumptions!B34)^(11-1)</f>
        <v>1727139.99781823</v>
      </c>
      <c r="M24" s="14" t="n">
        <f aca="false">Assumptions!B33*(1+Assumptions!B34)^(12-1)</f>
        <v>1865311.19764369</v>
      </c>
      <c r="N24" s="14" t="n">
        <f aca="false">Assumptions!B33*(1+Assumptions!B34)^(13-1)</f>
        <v>2014536.09345518</v>
      </c>
      <c r="O24" s="14" t="n">
        <f aca="false">Assumptions!B33*(1+Assumptions!B34)^(14-1)</f>
        <v>2175698.9809316</v>
      </c>
      <c r="P24" s="14" t="n">
        <f aca="false">Assumptions!B33*(1+Assumptions!B34)^(15-1)</f>
        <v>2349754.89940613</v>
      </c>
      <c r="Q24" s="14" t="n">
        <f aca="false">Assumptions!B33*(1+Assumptions!B34)^(16-1)</f>
        <v>2537735.29135862</v>
      </c>
      <c r="R24" s="14" t="n">
        <f aca="false">Assumptions!B33*(1+Assumptions!B34)^(17-1)</f>
        <v>2740754.11466731</v>
      </c>
      <c r="S24" s="14" t="n">
        <f aca="false">Assumptions!B33*(1+Assumptions!B34)^(18-1)</f>
        <v>2960014.44384069</v>
      </c>
      <c r="T24" s="14" t="n">
        <f aca="false">Assumptions!B33*(1+Assumptions!B34)^(19-1)</f>
        <v>3196815.59934795</v>
      </c>
      <c r="U24" s="14" t="n">
        <f aca="false">Assumptions!B33*(1+Assumptions!B34)^(20-1)</f>
        <v>3452560.84729578</v>
      </c>
      <c r="V24" s="14" t="n">
        <f aca="false">Assumptions!B33*(1+Assumptions!B34)^(21-1)</f>
        <v>3728765.71507945</v>
      </c>
      <c r="W24" s="14" t="n">
        <f aca="false">Assumptions!B33*(1+Assumptions!B34)^(22-1)</f>
        <v>4027066.9722858</v>
      </c>
      <c r="X24" s="14" t="n">
        <f aca="false">Assumptions!B33*(1+Assumptions!B34)^(23-1)</f>
        <v>4349232.33006867</v>
      </c>
      <c r="Y24" s="14" t="n">
        <f aca="false">Assumptions!B33*(1+Assumptions!B34)^(24-1)</f>
        <v>4697170.91647416</v>
      </c>
      <c r="Z24" s="14" t="n">
        <f aca="false">Assumptions!B33*(1+Assumptions!B34)^(25-1)</f>
        <v>5072944.58979209</v>
      </c>
      <c r="AA24" s="14" t="n">
        <f aca="false">Assumptions!B33*(1+Assumptions!B34)^(26-1)</f>
        <v>5478780.15697546</v>
      </c>
      <c r="AB24" s="14" t="n">
        <f aca="false">Assumptions!B33*(1+Assumptions!B34)^(27-1)</f>
        <v>5917082.5695335</v>
      </c>
      <c r="AC24" s="14" t="n">
        <f aca="false">Assumptions!B33*(1+Assumptions!B34)^(28-1)</f>
        <v>6390449.17509618</v>
      </c>
      <c r="AD24" s="14" t="n">
        <f aca="false">Assumptions!B33*(1+Assumptions!B34)^(29-1)</f>
        <v>6901685.10910387</v>
      </c>
      <c r="AE24" s="14" t="n">
        <f aca="false">Assumptions!B33*(1+Assumptions!B34)^(30-1)</f>
        <v>7453819.91783219</v>
      </c>
      <c r="AF24" s="14" t="n">
        <f aca="false">Assumptions!B33*(1+Assumptions!B34)^(31-1)</f>
        <v>8050125.51125876</v>
      </c>
      <c r="AG24" s="14" t="n">
        <f aca="false">Assumptions!B33*(1+Assumptions!B34)^(32-1)</f>
        <v>8694135.55215946</v>
      </c>
      <c r="AH24" s="14" t="n">
        <f aca="false">Assumptions!B33*(1+Assumptions!B34)^(33-1)</f>
        <v>9389666.39633222</v>
      </c>
      <c r="AI24" s="14" t="n">
        <f aca="false">Assumptions!B33*(1+Assumptions!B34)^(34-1)</f>
        <v>10140839.7080388</v>
      </c>
      <c r="AJ24" s="14" t="n">
        <f aca="false">Assumptions!B33*(1+Assumptions!B34)^(35-1)</f>
        <v>10952106.8846819</v>
      </c>
      <c r="AK24" s="14" t="n">
        <f aca="false">Assumptions!B33*(1+Assumptions!B34)^(36-1)</f>
        <v>11828275.4354565</v>
      </c>
    </row>
    <row r="25" customFormat="false" ht="15" hidden="false" customHeight="false" outlineLevel="0" collapsed="false">
      <c r="A25" s="5" t="s">
        <v>137</v>
      </c>
      <c r="B25" s="14" t="n">
        <f aca="false">(Assumptions!B35+INT((1-1)/Assumptions!B37))*Assumptions!B36</f>
        <v>3600000</v>
      </c>
      <c r="C25" s="14" t="n">
        <f aca="false">(Assumptions!B35+INT((2-1)/Assumptions!B37))*Assumptions!B36</f>
        <v>3600000</v>
      </c>
      <c r="D25" s="14" t="n">
        <f aca="false">(Assumptions!B35+INT((3-1)/Assumptions!B37))*Assumptions!B36</f>
        <v>3600000</v>
      </c>
      <c r="E25" s="14" t="n">
        <f aca="false">(Assumptions!B35+INT((4-1)/Assumptions!B37))*Assumptions!B36</f>
        <v>3600000</v>
      </c>
      <c r="F25" s="14" t="n">
        <f aca="false">(Assumptions!B35+INT((5-1)/Assumptions!B37))*Assumptions!B36</f>
        <v>4800000</v>
      </c>
      <c r="G25" s="14" t="n">
        <f aca="false">(Assumptions!B35+INT((6-1)/Assumptions!B37))*Assumptions!B36</f>
        <v>4800000</v>
      </c>
      <c r="H25" s="14" t="n">
        <f aca="false">(Assumptions!B35+INT((7-1)/Assumptions!B37))*Assumptions!B36</f>
        <v>4800000</v>
      </c>
      <c r="I25" s="14" t="n">
        <f aca="false">(Assumptions!B35+INT((8-1)/Assumptions!B37))*Assumptions!B36</f>
        <v>4800000</v>
      </c>
      <c r="J25" s="14" t="n">
        <f aca="false">(Assumptions!B35+INT((9-1)/Assumptions!B37))*Assumptions!B36</f>
        <v>6000000</v>
      </c>
      <c r="K25" s="14" t="n">
        <f aca="false">(Assumptions!B35+INT((10-1)/Assumptions!B37))*Assumptions!B36</f>
        <v>6000000</v>
      </c>
      <c r="L25" s="14" t="n">
        <f aca="false">(Assumptions!B35+INT((11-1)/Assumptions!B37))*Assumptions!B36</f>
        <v>6000000</v>
      </c>
      <c r="M25" s="14" t="n">
        <f aca="false">(Assumptions!B35+INT((12-1)/Assumptions!B37))*Assumptions!B36</f>
        <v>6000000</v>
      </c>
      <c r="N25" s="14" t="n">
        <f aca="false">(Assumptions!B35+INT((13-1)/Assumptions!B37))*Assumptions!B36</f>
        <v>7200000</v>
      </c>
      <c r="O25" s="14" t="n">
        <f aca="false">(Assumptions!B35+INT((14-1)/Assumptions!B37))*Assumptions!B36</f>
        <v>7200000</v>
      </c>
      <c r="P25" s="14" t="n">
        <f aca="false">(Assumptions!B35+INT((15-1)/Assumptions!B37))*Assumptions!B36</f>
        <v>7200000</v>
      </c>
      <c r="Q25" s="14" t="n">
        <f aca="false">(Assumptions!B35+INT((16-1)/Assumptions!B37))*Assumptions!B36</f>
        <v>7200000</v>
      </c>
      <c r="R25" s="14" t="n">
        <f aca="false">(Assumptions!B35+INT((17-1)/Assumptions!B37))*Assumptions!B36</f>
        <v>8400000</v>
      </c>
      <c r="S25" s="14" t="n">
        <f aca="false">(Assumptions!B35+INT((18-1)/Assumptions!B37))*Assumptions!B36</f>
        <v>8400000</v>
      </c>
      <c r="T25" s="14" t="n">
        <f aca="false">(Assumptions!B35+INT((19-1)/Assumptions!B37))*Assumptions!B36</f>
        <v>8400000</v>
      </c>
      <c r="U25" s="14" t="n">
        <f aca="false">(Assumptions!B35+INT((20-1)/Assumptions!B37))*Assumptions!B36</f>
        <v>8400000</v>
      </c>
      <c r="V25" s="14" t="n">
        <f aca="false">(Assumptions!B35+INT((21-1)/Assumptions!B37))*Assumptions!B36</f>
        <v>9600000</v>
      </c>
      <c r="W25" s="14" t="n">
        <f aca="false">(Assumptions!B35+INT((22-1)/Assumptions!B37))*Assumptions!B36</f>
        <v>9600000</v>
      </c>
      <c r="X25" s="14" t="n">
        <f aca="false">(Assumptions!B35+INT((23-1)/Assumptions!B37))*Assumptions!B36</f>
        <v>9600000</v>
      </c>
      <c r="Y25" s="14" t="n">
        <f aca="false">(Assumptions!B35+INT((24-1)/Assumptions!B37))*Assumptions!B36</f>
        <v>9600000</v>
      </c>
      <c r="Z25" s="14" t="n">
        <f aca="false">(Assumptions!B35+INT((25-1)/Assumptions!B37))*Assumptions!B36</f>
        <v>10800000</v>
      </c>
      <c r="AA25" s="14" t="n">
        <f aca="false">(Assumptions!B35+INT((26-1)/Assumptions!B37))*Assumptions!B36</f>
        <v>10800000</v>
      </c>
      <c r="AB25" s="14" t="n">
        <f aca="false">(Assumptions!B35+INT((27-1)/Assumptions!B37))*Assumptions!B36</f>
        <v>10800000</v>
      </c>
      <c r="AC25" s="14" t="n">
        <f aca="false">(Assumptions!B35+INT((28-1)/Assumptions!B37))*Assumptions!B36</f>
        <v>10800000</v>
      </c>
      <c r="AD25" s="14" t="n">
        <f aca="false">(Assumptions!B35+INT((29-1)/Assumptions!B37))*Assumptions!B36</f>
        <v>12000000</v>
      </c>
      <c r="AE25" s="14" t="n">
        <f aca="false">(Assumptions!B35+INT((30-1)/Assumptions!B37))*Assumptions!B36</f>
        <v>12000000</v>
      </c>
      <c r="AF25" s="14" t="n">
        <f aca="false">(Assumptions!B35+INT((31-1)/Assumptions!B37))*Assumptions!B36</f>
        <v>12000000</v>
      </c>
      <c r="AG25" s="14" t="n">
        <f aca="false">(Assumptions!B35+INT((32-1)/Assumptions!B37))*Assumptions!B36</f>
        <v>12000000</v>
      </c>
      <c r="AH25" s="14" t="n">
        <f aca="false">(Assumptions!B35+INT((33-1)/Assumptions!B37))*Assumptions!B36</f>
        <v>13200000</v>
      </c>
      <c r="AI25" s="14" t="n">
        <f aca="false">(Assumptions!B35+INT((34-1)/Assumptions!B37))*Assumptions!B36</f>
        <v>13200000</v>
      </c>
      <c r="AJ25" s="14" t="n">
        <f aca="false">(Assumptions!B35+INT((35-1)/Assumptions!B37))*Assumptions!B36</f>
        <v>13200000</v>
      </c>
      <c r="AK25" s="14" t="n">
        <f aca="false">(Assumptions!B35+INT((36-1)/Assumptions!B37))*Assumptions!B36</f>
        <v>13200000</v>
      </c>
    </row>
    <row r="26" customFormat="false" ht="15" hidden="false" customHeight="false" outlineLevel="0" collapsed="false">
      <c r="A26" s="5" t="s">
        <v>138</v>
      </c>
      <c r="B26" s="14" t="n">
        <f aca="false">Assumptions!B38*(1+Assumptions!B39)^(1-1)</f>
        <v>200000</v>
      </c>
      <c r="C26" s="14" t="n">
        <f aca="false">Assumptions!B38*(1+Assumptions!B39)^(2-1)</f>
        <v>220000</v>
      </c>
      <c r="D26" s="14" t="n">
        <f aca="false">Assumptions!B38*(1+Assumptions!B39)^(3-1)</f>
        <v>242000</v>
      </c>
      <c r="E26" s="14" t="n">
        <f aca="false">Assumptions!B38*(1+Assumptions!B39)^(4-1)</f>
        <v>266200</v>
      </c>
      <c r="F26" s="14" t="n">
        <f aca="false">Assumptions!B38*(1+Assumptions!B39)^(5-1)</f>
        <v>292820</v>
      </c>
      <c r="G26" s="14" t="n">
        <f aca="false">Assumptions!B38*(1+Assumptions!B39)^(6-1)</f>
        <v>322102</v>
      </c>
      <c r="H26" s="14" t="n">
        <f aca="false">Assumptions!B38*(1+Assumptions!B39)^(7-1)</f>
        <v>354312.2</v>
      </c>
      <c r="I26" s="14" t="n">
        <f aca="false">Assumptions!B38*(1+Assumptions!B39)^(8-1)</f>
        <v>389743.42</v>
      </c>
      <c r="J26" s="14" t="n">
        <f aca="false">Assumptions!B38*(1+Assumptions!B39)^(9-1)</f>
        <v>428717.762</v>
      </c>
      <c r="K26" s="14" t="n">
        <f aca="false">Assumptions!B38*(1+Assumptions!B39)^(10-1)</f>
        <v>471589.5382</v>
      </c>
      <c r="L26" s="14" t="n">
        <f aca="false">Assumptions!B38*(1+Assumptions!B39)^(11-1)</f>
        <v>518748.49202</v>
      </c>
      <c r="M26" s="14" t="n">
        <f aca="false">Assumptions!B38*(1+Assumptions!B39)^(12-1)</f>
        <v>570623.341222001</v>
      </c>
      <c r="N26" s="14" t="n">
        <f aca="false">Assumptions!B38*(1+Assumptions!B39)^(13-1)</f>
        <v>627685.675344201</v>
      </c>
      <c r="O26" s="14" t="n">
        <f aca="false">Assumptions!B38*(1+Assumptions!B39)^(14-1)</f>
        <v>690454.242878621</v>
      </c>
      <c r="P26" s="14" t="n">
        <f aca="false">Assumptions!B38*(1+Assumptions!B39)^(15-1)</f>
        <v>759499.667166483</v>
      </c>
      <c r="Q26" s="14" t="n">
        <f aca="false">Assumptions!B38*(1+Assumptions!B39)^(16-1)</f>
        <v>835449.633883131</v>
      </c>
      <c r="R26" s="14" t="n">
        <f aca="false">Assumptions!B38*(1+Assumptions!B39)^(17-1)</f>
        <v>918994.597271444</v>
      </c>
      <c r="S26" s="14" t="n">
        <f aca="false">Assumptions!B38*(1+Assumptions!B39)^(18-1)</f>
        <v>1010894.05699859</v>
      </c>
      <c r="T26" s="14" t="n">
        <f aca="false">Assumptions!B38*(1+Assumptions!B39)^(19-1)</f>
        <v>1111983.46269845</v>
      </c>
      <c r="U26" s="14" t="n">
        <f aca="false">Assumptions!B38*(1+Assumptions!B39)^(20-1)</f>
        <v>1223181.80896829</v>
      </c>
      <c r="V26" s="14" t="n">
        <f aca="false">Assumptions!B38*(1+Assumptions!B39)^(21-1)</f>
        <v>1345499.98986512</v>
      </c>
      <c r="W26" s="14" t="n">
        <f aca="false">Assumptions!B38*(1+Assumptions!B39)^(22-1)</f>
        <v>1480049.98885163</v>
      </c>
      <c r="X26" s="14" t="n">
        <f aca="false">Assumptions!B38*(1+Assumptions!B39)^(23-1)</f>
        <v>1628054.9877368</v>
      </c>
      <c r="Y26" s="14" t="n">
        <f aca="false">Assumptions!B38*(1+Assumptions!B39)^(24-1)</f>
        <v>1790860.48651048</v>
      </c>
      <c r="Z26" s="14" t="n">
        <f aca="false">Assumptions!B38*(1+Assumptions!B39)^(25-1)</f>
        <v>1969946.53516153</v>
      </c>
      <c r="AA26" s="14" t="n">
        <f aca="false">Assumptions!B38*(1+Assumptions!B39)^(26-1)</f>
        <v>2166941.18867768</v>
      </c>
      <c r="AB26" s="14" t="n">
        <f aca="false">Assumptions!B38*(1+Assumptions!B39)^(27-1)</f>
        <v>2383635.30754545</v>
      </c>
      <c r="AC26" s="14" t="n">
        <f aca="false">Assumptions!B38*(1+Assumptions!B39)^(28-1)</f>
        <v>2621998.83829999</v>
      </c>
      <c r="AD26" s="14" t="n">
        <f aca="false">Assumptions!B38*(1+Assumptions!B39)^(29-1)</f>
        <v>2884198.72212999</v>
      </c>
      <c r="AE26" s="14" t="n">
        <f aca="false">Assumptions!B38*(1+Assumptions!B39)^(30-1)</f>
        <v>3172618.59434299</v>
      </c>
      <c r="AF26" s="14" t="n">
        <f aca="false">Assumptions!B38*(1+Assumptions!B39)^(31-1)</f>
        <v>3489880.45377729</v>
      </c>
      <c r="AG26" s="14" t="n">
        <f aca="false">Assumptions!B38*(1+Assumptions!B39)^(32-1)</f>
        <v>3838868.49915502</v>
      </c>
      <c r="AH26" s="14" t="n">
        <f aca="false">Assumptions!B38*(1+Assumptions!B39)^(33-1)</f>
        <v>4222755.34907052</v>
      </c>
      <c r="AI26" s="14" t="n">
        <f aca="false">Assumptions!B38*(1+Assumptions!B39)^(34-1)</f>
        <v>4645030.88397757</v>
      </c>
      <c r="AJ26" s="14" t="n">
        <f aca="false">Assumptions!B38*(1+Assumptions!B39)^(35-1)</f>
        <v>5109533.97237533</v>
      </c>
      <c r="AK26" s="14" t="n">
        <f aca="false">Assumptions!B38*(1+Assumptions!B39)^(36-1)</f>
        <v>5620487.36961287</v>
      </c>
    </row>
    <row r="27" customFormat="false" ht="15" hidden="false" customHeight="false" outlineLevel="0" collapsed="false">
      <c r="A27" s="5" t="s">
        <v>139</v>
      </c>
      <c r="B27" s="14" t="n">
        <f aca="false">(B14+B18)*Assumptions!B40</f>
        <v>11250</v>
      </c>
      <c r="C27" s="14" t="n">
        <f aca="false">(C14+C18)*Assumptions!B40</f>
        <v>13905</v>
      </c>
      <c r="D27" s="14" t="n">
        <f aca="false">(D14+D18)*Assumptions!B40</f>
        <v>19096.2</v>
      </c>
      <c r="E27" s="14" t="n">
        <f aca="false">(E14+E18)*Assumptions!B40</f>
        <v>24586.35</v>
      </c>
      <c r="F27" s="14" t="n">
        <f aca="false">(F14+F18)*Assumptions!B40</f>
        <v>32921.07</v>
      </c>
      <c r="G27" s="14" t="n">
        <f aca="false">(G14+G18)*Assumptions!B40</f>
        <v>41733.84</v>
      </c>
      <c r="H27" s="14" t="n">
        <f aca="false">(H14+H18)*Assumptions!B40</f>
        <v>51045.78</v>
      </c>
      <c r="I27" s="14" t="n">
        <f aca="false">(I14+I18)*Assumptions!B40</f>
        <v>60878.73</v>
      </c>
      <c r="J27" s="14" t="n">
        <f aca="false">(J14+J18)*Assumptions!B40</f>
        <v>71256</v>
      </c>
      <c r="K27" s="14" t="n">
        <f aca="false">(K14+K18)*Assumptions!B40</f>
        <v>85886.46</v>
      </c>
      <c r="L27" s="14" t="n">
        <f aca="false">(L14+L18)*Assumptions!B40</f>
        <v>103596.87</v>
      </c>
      <c r="M27" s="14" t="n">
        <f aca="false">(M14+M18)*Assumptions!B40</f>
        <v>125407.875</v>
      </c>
      <c r="N27" s="14" t="n">
        <f aca="false">(N14+N18)*Assumptions!B40</f>
        <v>146094.6375</v>
      </c>
      <c r="O27" s="14" t="n">
        <f aca="false">(O14+O18)*Assumptions!B40</f>
        <v>170337.459375</v>
      </c>
      <c r="P27" s="14" t="n">
        <f aca="false">(P14+P18)*Assumptions!B40</f>
        <v>195903.66234375</v>
      </c>
      <c r="Q27" s="14" t="n">
        <f aca="false">(Q14+Q18)*Assumptions!B40</f>
        <v>226357.343460938</v>
      </c>
      <c r="R27" s="14" t="n">
        <f aca="false">(R14+R18)*Assumptions!B40</f>
        <v>263128.455950977</v>
      </c>
      <c r="S27" s="14" t="n">
        <f aca="false">(S14+S18)*Assumptions!B40</f>
        <v>304555.579748525</v>
      </c>
      <c r="T27" s="14" t="n">
        <f aca="false">(T14+T18)*Assumptions!B40</f>
        <v>352063.713485952</v>
      </c>
      <c r="U27" s="14" t="n">
        <f aca="false">(U14+U18)*Assumptions!B40</f>
        <v>406094.792910249</v>
      </c>
      <c r="V27" s="14" t="n">
        <f aca="false">(V14+V18)*Assumptions!B40</f>
        <v>468399.088074349</v>
      </c>
      <c r="W27" s="14" t="n">
        <f aca="false">(W14+W18)*Assumptions!B40</f>
        <v>541152.048978066</v>
      </c>
      <c r="X27" s="14" t="n">
        <f aca="false">(X14+X18)*Assumptions!B40</f>
        <v>622164.26742697</v>
      </c>
      <c r="Y27" s="14" t="n">
        <f aca="false">(Y14+Y18)*Assumptions!B40</f>
        <v>716430.994798318</v>
      </c>
      <c r="Z27" s="14" t="n">
        <f aca="false">(Z14+Z18)*Assumptions!B40</f>
        <v>788354.019538234</v>
      </c>
      <c r="AA27" s="14" t="n">
        <f aca="false">(AA14+AA18)*Assumptions!B40</f>
        <v>868662.538765146</v>
      </c>
      <c r="AB27" s="14" t="n">
        <f aca="false">(AB14+AB18)*Assumptions!B40</f>
        <v>957933.714953403</v>
      </c>
      <c r="AC27" s="14" t="n">
        <f aca="false">(AC14+AC18)*Assumptions!B40</f>
        <v>1056777.80770107</v>
      </c>
      <c r="AD27" s="14" t="n">
        <f aca="false">(AD14+AD18)*Assumptions!B40</f>
        <v>1165843.72558613</v>
      </c>
      <c r="AE27" s="14" t="n">
        <f aca="false">(AE14+AE18)*Assumptions!B40</f>
        <v>1285808.16811543</v>
      </c>
      <c r="AF27" s="14" t="n">
        <f aca="false">(AF14+AF18)*Assumptions!B40</f>
        <v>1417382.3177712</v>
      </c>
      <c r="AG27" s="14" t="n">
        <f aca="false">(AG14+AG18)*Assumptions!B40</f>
        <v>1561325.46215977</v>
      </c>
      <c r="AH27" s="14" t="n">
        <f aca="false">(AH14+AH18)*Assumptions!B40</f>
        <v>1724217.85126775</v>
      </c>
      <c r="AI27" s="14" t="n">
        <f aca="false">(AI14+AI18)*Assumptions!B40</f>
        <v>1901452.04983114</v>
      </c>
      <c r="AJ27" s="14" t="n">
        <f aca="false">(AJ14+AJ18)*Assumptions!B40</f>
        <v>2093920.8748227</v>
      </c>
      <c r="AK27" s="14" t="n">
        <f aca="false">(AK14+AK18)*Assumptions!B40</f>
        <v>2308887.17306383</v>
      </c>
    </row>
    <row r="28" customFormat="false" ht="15" hidden="false" customHeight="false" outlineLevel="0" collapsed="false">
      <c r="A28" s="5" t="s">
        <v>140</v>
      </c>
      <c r="B28" s="14" t="n">
        <f aca="false">Assumptions!B41*(1+Assumptions!B42)^(1-1)</f>
        <v>300000</v>
      </c>
      <c r="C28" s="14" t="n">
        <f aca="false">Assumptions!B41*(1+Assumptions!B42)^(2-1)</f>
        <v>315000</v>
      </c>
      <c r="D28" s="14" t="n">
        <f aca="false">Assumptions!B41*(1+Assumptions!B42)^(3-1)</f>
        <v>330750</v>
      </c>
      <c r="E28" s="14" t="n">
        <f aca="false">Assumptions!B41*(1+Assumptions!B42)^(4-1)</f>
        <v>347287.5</v>
      </c>
      <c r="F28" s="14" t="n">
        <f aca="false">Assumptions!B41*(1+Assumptions!B42)^(5-1)</f>
        <v>364651.875</v>
      </c>
      <c r="G28" s="14" t="n">
        <f aca="false">Assumptions!B41*(1+Assumptions!B42)^(6-1)</f>
        <v>382884.46875</v>
      </c>
      <c r="H28" s="14" t="n">
        <f aca="false">Assumptions!B41*(1+Assumptions!B42)^(7-1)</f>
        <v>402028.6921875</v>
      </c>
      <c r="I28" s="14" t="n">
        <f aca="false">Assumptions!B41*(1+Assumptions!B42)^(8-1)</f>
        <v>422130.126796875</v>
      </c>
      <c r="J28" s="14" t="n">
        <f aca="false">Assumptions!B41*(1+Assumptions!B42)^(9-1)</f>
        <v>443236.633136719</v>
      </c>
      <c r="K28" s="14" t="n">
        <f aca="false">Assumptions!B41*(1+Assumptions!B42)^(10-1)</f>
        <v>465398.464793555</v>
      </c>
      <c r="L28" s="14" t="n">
        <f aca="false">Assumptions!B41*(1+Assumptions!B42)^(11-1)</f>
        <v>488668.388033233</v>
      </c>
      <c r="M28" s="14" t="n">
        <f aca="false">Assumptions!B41*(1+Assumptions!B42)^(12-1)</f>
        <v>513101.807434894</v>
      </c>
      <c r="N28" s="14" t="n">
        <f aca="false">Assumptions!B41*(1+Assumptions!B42)^(13-1)</f>
        <v>538756.897806639</v>
      </c>
      <c r="O28" s="14" t="n">
        <f aca="false">Assumptions!B41*(1+Assumptions!B42)^(14-1)</f>
        <v>565694.742696971</v>
      </c>
      <c r="P28" s="14" t="n">
        <f aca="false">Assumptions!B41*(1+Assumptions!B42)^(15-1)</f>
        <v>593979.47983182</v>
      </c>
      <c r="Q28" s="14" t="n">
        <f aca="false">Assumptions!B41*(1+Assumptions!B42)^(16-1)</f>
        <v>623678.453823411</v>
      </c>
      <c r="R28" s="14" t="n">
        <f aca="false">Assumptions!B41*(1+Assumptions!B42)^(17-1)</f>
        <v>654862.376514581</v>
      </c>
      <c r="S28" s="14" t="n">
        <f aca="false">Assumptions!B41*(1+Assumptions!B42)^(18-1)</f>
        <v>687605.49534031</v>
      </c>
      <c r="T28" s="14" t="n">
        <f aca="false">Assumptions!B41*(1+Assumptions!B42)^(19-1)</f>
        <v>721985.770107326</v>
      </c>
      <c r="U28" s="14" t="n">
        <f aca="false">Assumptions!B41*(1+Assumptions!B42)^(20-1)</f>
        <v>758085.058612692</v>
      </c>
      <c r="V28" s="14" t="n">
        <f aca="false">Assumptions!B41*(1+Assumptions!B42)^(21-1)</f>
        <v>795989.311543327</v>
      </c>
      <c r="W28" s="14" t="n">
        <f aca="false">Assumptions!B41*(1+Assumptions!B42)^(22-1)</f>
        <v>835788.777120493</v>
      </c>
      <c r="X28" s="14" t="n">
        <f aca="false">Assumptions!B41*(1+Assumptions!B42)^(23-1)</f>
        <v>877578.215976518</v>
      </c>
      <c r="Y28" s="14" t="n">
        <f aca="false">Assumptions!B41*(1+Assumptions!B42)^(24-1)</f>
        <v>921457.126775344</v>
      </c>
      <c r="Z28" s="14" t="n">
        <f aca="false">Assumptions!B41*(1+Assumptions!B42)^(25-1)</f>
        <v>967529.983114111</v>
      </c>
      <c r="AA28" s="14" t="n">
        <f aca="false">Assumptions!B41*(1+Assumptions!B42)^(26-1)</f>
        <v>1015906.48226982</v>
      </c>
      <c r="AB28" s="14" t="n">
        <f aca="false">Assumptions!B41*(1+Assumptions!B42)^(27-1)</f>
        <v>1066701.80638331</v>
      </c>
      <c r="AC28" s="14" t="n">
        <f aca="false">Assumptions!B41*(1+Assumptions!B42)^(28-1)</f>
        <v>1120036.89670247</v>
      </c>
      <c r="AD28" s="14" t="n">
        <f aca="false">Assumptions!B41*(1+Assumptions!B42)^(29-1)</f>
        <v>1176038.7415376</v>
      </c>
      <c r="AE28" s="14" t="n">
        <f aca="false">Assumptions!B41*(1+Assumptions!B42)^(30-1)</f>
        <v>1234840.67861448</v>
      </c>
      <c r="AF28" s="14" t="n">
        <f aca="false">Assumptions!B41*(1+Assumptions!B42)^(31-1)</f>
        <v>1296582.7125452</v>
      </c>
      <c r="AG28" s="14" t="n">
        <f aca="false">Assumptions!B41*(1+Assumptions!B42)^(32-1)</f>
        <v>1361411.84817246</v>
      </c>
      <c r="AH28" s="14" t="n">
        <f aca="false">Assumptions!B41*(1+Assumptions!B42)^(33-1)</f>
        <v>1429482.44058108</v>
      </c>
      <c r="AI28" s="14" t="n">
        <f aca="false">Assumptions!B41*(1+Assumptions!B42)^(34-1)</f>
        <v>1500956.56261014</v>
      </c>
      <c r="AJ28" s="14" t="n">
        <f aca="false">Assumptions!B41*(1+Assumptions!B42)^(35-1)</f>
        <v>1576004.39074064</v>
      </c>
      <c r="AK28" s="14" t="n">
        <f aca="false">Assumptions!B41*(1+Assumptions!B42)^(36-1)</f>
        <v>1654804.61027768</v>
      </c>
    </row>
    <row r="29" customFormat="false" ht="15" hidden="false" customHeight="false" outlineLevel="0" collapsed="false">
      <c r="A29" s="15" t="s">
        <v>141</v>
      </c>
      <c r="B29" s="16" t="n">
        <f aca="false">SUM(B24:B28)</f>
        <v>4911250</v>
      </c>
      <c r="C29" s="16" t="n">
        <f aca="false">SUM(C24:C28)</f>
        <v>5012905</v>
      </c>
      <c r="D29" s="16" t="n">
        <f aca="false">SUM(D24:D28)</f>
        <v>5124966.2</v>
      </c>
      <c r="E29" s="16" t="n">
        <f aca="false">SUM(E24:E28)</f>
        <v>5245843.45</v>
      </c>
      <c r="F29" s="16" t="n">
        <f aca="false">SUM(F24:F28)</f>
        <v>6578784.113</v>
      </c>
      <c r="G29" s="16" t="n">
        <f aca="false">SUM(G24:G28)</f>
        <v>6722182.77019</v>
      </c>
      <c r="H29" s="16" t="n">
        <f aca="false">SUM(H24:H28)</f>
        <v>6876886.1305427</v>
      </c>
      <c r="I29" s="16" t="n">
        <f aca="false">SUM(I24:I28)</f>
        <v>7043811.69182049</v>
      </c>
      <c r="J29" s="16" t="n">
        <f aca="false">SUM(J24:J28)</f>
        <v>8423954.56336223</v>
      </c>
      <c r="K29" s="16" t="n">
        <f aca="false">SUM(K24:K28)</f>
        <v>8622078.1646771</v>
      </c>
      <c r="L29" s="16" t="n">
        <f aca="false">SUM(L24:L28)</f>
        <v>8838153.74787146</v>
      </c>
      <c r="M29" s="16" t="n">
        <f aca="false">SUM(M24:M28)</f>
        <v>9074444.22130058</v>
      </c>
      <c r="N29" s="16" t="n">
        <f aca="false">SUM(N24:N28)</f>
        <v>10527073.304106</v>
      </c>
      <c r="O29" s="16" t="n">
        <f aca="false">SUM(O24:O28)</f>
        <v>10802185.4258822</v>
      </c>
      <c r="P29" s="16" t="n">
        <f aca="false">SUM(P24:P28)</f>
        <v>11099137.7087482</v>
      </c>
      <c r="Q29" s="16" t="n">
        <f aca="false">SUM(Q24:Q28)</f>
        <v>11423220.7225261</v>
      </c>
      <c r="R29" s="16" t="n">
        <f aca="false">SUM(R24:R28)</f>
        <v>12977739.5444043</v>
      </c>
      <c r="S29" s="16" t="n">
        <f aca="false">SUM(S24:S28)</f>
        <v>13363069.5759281</v>
      </c>
      <c r="T29" s="16" t="n">
        <f aca="false">SUM(T24:T28)</f>
        <v>13782848.5456397</v>
      </c>
      <c r="U29" s="16" t="n">
        <f aca="false">SUM(U24:U28)</f>
        <v>14239922.507787</v>
      </c>
      <c r="V29" s="16" t="n">
        <f aca="false">SUM(V24:V28)</f>
        <v>15938654.1045622</v>
      </c>
      <c r="W29" s="16" t="n">
        <f aca="false">SUM(W24:W28)</f>
        <v>16484057.787236</v>
      </c>
      <c r="X29" s="16" t="n">
        <f aca="false">SUM(X24:X28)</f>
        <v>17077029.801209</v>
      </c>
      <c r="Y29" s="16" t="n">
        <f aca="false">SUM(Y24:Y28)</f>
        <v>17725919.5245583</v>
      </c>
      <c r="Z29" s="16" t="n">
        <f aca="false">SUM(Z24:Z28)</f>
        <v>19598775.127606</v>
      </c>
      <c r="AA29" s="16" t="n">
        <f aca="false">SUM(AA24:AA28)</f>
        <v>20330290.3666881</v>
      </c>
      <c r="AB29" s="16" t="n">
        <f aca="false">SUM(AB24:AB28)</f>
        <v>21125353.3984157</v>
      </c>
      <c r="AC29" s="16" t="n">
        <f aca="false">SUM(AC24:AC28)</f>
        <v>21989262.7177997</v>
      </c>
      <c r="AD29" s="16" t="n">
        <f aca="false">SUM(AD24:AD28)</f>
        <v>24127766.2983576</v>
      </c>
      <c r="AE29" s="16" t="n">
        <f aca="false">SUM(AE24:AE28)</f>
        <v>25147087.3589051</v>
      </c>
      <c r="AF29" s="16" t="n">
        <f aca="false">SUM(AF24:AF28)</f>
        <v>26253970.9953525</v>
      </c>
      <c r="AG29" s="16" t="n">
        <f aca="false">SUM(AG24:AG28)</f>
        <v>27455741.3616467</v>
      </c>
      <c r="AH29" s="16" t="n">
        <f aca="false">SUM(AH24:AH28)</f>
        <v>29966122.0372516</v>
      </c>
      <c r="AI29" s="16" t="n">
        <f aca="false">SUM(AI24:AI28)</f>
        <v>31388279.2044577</v>
      </c>
      <c r="AJ29" s="16" t="n">
        <f aca="false">SUM(AJ24:AJ28)</f>
        <v>32931566.1226206</v>
      </c>
      <c r="AK29" s="16" t="n">
        <f aca="false">SUM(AK24:AK28)</f>
        <v>34612454.5884108</v>
      </c>
    </row>
    <row r="32" customFormat="false" ht="15" hidden="false" customHeight="false" outlineLevel="0" collapsed="false">
      <c r="A32" s="3" t="s">
        <v>142</v>
      </c>
    </row>
    <row r="33" customFormat="false" ht="15" hidden="false" customHeight="false" outlineLevel="0" collapsed="false">
      <c r="A33" s="4" t="s">
        <v>143</v>
      </c>
      <c r="B33" s="17" t="n">
        <f aca="false">B21-B29</f>
        <v>-4828750</v>
      </c>
      <c r="C33" s="17" t="n">
        <f aca="false">C21-C29</f>
        <v>-4910935</v>
      </c>
      <c r="D33" s="17" t="n">
        <f aca="false">D21-D29</f>
        <v>-4984927.4</v>
      </c>
      <c r="E33" s="17" t="n">
        <f aca="false">E21-E29</f>
        <v>-5065543.55</v>
      </c>
      <c r="F33" s="17" t="n">
        <f aca="false">F21-F29</f>
        <v>-6337362.933</v>
      </c>
      <c r="G33" s="17" t="n">
        <f aca="false">G21-G29</f>
        <v>-6416134.61019</v>
      </c>
      <c r="H33" s="17" t="n">
        <f aca="false">H21-H29</f>
        <v>-6502550.4105427</v>
      </c>
      <c r="I33" s="17" t="n">
        <f aca="false">I21-I29</f>
        <v>-6597367.67182049</v>
      </c>
      <c r="J33" s="17" t="n">
        <f aca="false">J21-J29</f>
        <v>-7901410.56336223</v>
      </c>
      <c r="K33" s="17" t="n">
        <f aca="false">K21-K29</f>
        <v>-7986655.4786771</v>
      </c>
      <c r="L33" s="17" t="n">
        <f aca="false">L21-L29</f>
        <v>-8071233.68087146</v>
      </c>
      <c r="M33" s="17" t="n">
        <f aca="false">M21-M29</f>
        <v>-8145553.18380058</v>
      </c>
      <c r="N33" s="17" t="n">
        <f aca="false">N21-N29</f>
        <v>-9448048.91535602</v>
      </c>
      <c r="O33" s="17" t="n">
        <f aca="false">O21-O29</f>
        <v>-9543303.34869469</v>
      </c>
      <c r="P33" s="17" t="n">
        <f aca="false">P21-P29</f>
        <v>-9650578.17470131</v>
      </c>
      <c r="Q33" s="17" t="n">
        <f aca="false">Q21-Q29</f>
        <v>-9748671.70997688</v>
      </c>
      <c r="R33" s="17" t="n">
        <f aca="false">R21-R29</f>
        <v>-11034481.9256393</v>
      </c>
      <c r="S33" s="17" t="n">
        <f aca="false">S21-S29</f>
        <v>-11112503.5321248</v>
      </c>
      <c r="T33" s="17" t="n">
        <f aca="false">T21-T29</f>
        <v>-11179803.5626712</v>
      </c>
      <c r="U33" s="17" t="n">
        <f aca="false">U21-U29</f>
        <v>-11235944.5987952</v>
      </c>
      <c r="V33" s="17" t="n">
        <f aca="false">V21-V29</f>
        <v>-12477411.6221736</v>
      </c>
      <c r="W33" s="17" t="n">
        <f aca="false">W21-W29</f>
        <v>-12483044.499078</v>
      </c>
      <c r="X33" s="17" t="n">
        <f aca="false">X21-X29</f>
        <v>-12474903.203043</v>
      </c>
      <c r="Y33" s="17" t="n">
        <f aca="false">Y21-Y29</f>
        <v>-12424208.3090841</v>
      </c>
      <c r="Z33" s="17" t="n">
        <f aca="false">Z21-Z29</f>
        <v>-13763624.053858</v>
      </c>
      <c r="AA33" s="17" t="n">
        <f aca="false">AA21-AA29</f>
        <v>-13899426.6569278</v>
      </c>
      <c r="AB33" s="17" t="n">
        <f aca="false">AB21-AB29</f>
        <v>-14032217.0037423</v>
      </c>
      <c r="AC33" s="17" t="n">
        <f aca="false">AC21-AC29</f>
        <v>-14162760.4446927</v>
      </c>
      <c r="AD33" s="17" t="n">
        <f aca="false">AD21-AD29</f>
        <v>-15491984.6738452</v>
      </c>
      <c r="AE33" s="17" t="n">
        <f aca="false">AE21-AE29</f>
        <v>-15621086.2150421</v>
      </c>
      <c r="AF33" s="17" t="n">
        <f aca="false">AF21-AF29</f>
        <v>-15751527.3176713</v>
      </c>
      <c r="AG33" s="17" t="n">
        <f aca="false">AG21-AG29</f>
        <v>-15884991.8882315</v>
      </c>
      <c r="AH33" s="17" t="n">
        <f aca="false">AH21-AH29</f>
        <v>-17186294.2945656</v>
      </c>
      <c r="AI33" s="17" t="n">
        <f aca="false">AI21-AI29</f>
        <v>-17292853.5000374</v>
      </c>
      <c r="AJ33" s="17" t="n">
        <f aca="false">AJ21-AJ29</f>
        <v>-17407390.5457293</v>
      </c>
      <c r="AK33" s="17" t="n">
        <f aca="false">AK21-AK29</f>
        <v>-17492394.674225</v>
      </c>
    </row>
    <row r="34" customFormat="false" ht="15" hidden="false" customHeight="false" outlineLevel="0" collapsed="false">
      <c r="A34" s="5" t="s">
        <v>144</v>
      </c>
      <c r="B34" s="18" t="n">
        <f aca="false">IF(B21&gt;0,B33/B21,0)</f>
        <v>-58.530303030303</v>
      </c>
      <c r="C34" s="18" t="n">
        <f aca="false">IF(C21&gt;0,C33/C21,0)</f>
        <v>-48.1605864469942</v>
      </c>
      <c r="D34" s="18" t="n">
        <f aca="false">IF(D21&gt;0,D33/D21,0)</f>
        <v>-35.5967588982482</v>
      </c>
      <c r="E34" s="18" t="n">
        <f aca="false">IF(E21&gt;0,E33/E21,0)</f>
        <v>-28.0950990544088</v>
      </c>
      <c r="F34" s="18" t="n">
        <f aca="false">IF(F21&gt;0,F33/F21,0)</f>
        <v>-26.2502359279331</v>
      </c>
      <c r="G34" s="18" t="n">
        <f aca="false">IF(G21&gt;0,G33/G21,0)</f>
        <v>-20.9644606593616</v>
      </c>
      <c r="H34" s="18" t="n">
        <f aca="false">IF(H21&gt;0,H33/H21,0)</f>
        <v>-17.3709054816962</v>
      </c>
      <c r="I34" s="18" t="n">
        <f aca="false">IF(I21&gt;0,I33/I21,0)</f>
        <v>-14.777592209255</v>
      </c>
      <c r="J34" s="18" t="n">
        <f aca="false">IF(J21&gt;0,J33/J21,0)</f>
        <v>-15.1210435166459</v>
      </c>
      <c r="K34" s="18" t="n">
        <f aca="false">IF(K21&gt;0,K33/K21,0)</f>
        <v>-12.5690436533723</v>
      </c>
      <c r="L34" s="18" t="n">
        <f aca="false">IF(L21&gt;0,L33/L21,0)</f>
        <v>-10.5242176181986</v>
      </c>
      <c r="M34" s="18" t="n">
        <f aca="false">IF(M21&gt;0,M33/M21,0)</f>
        <v>-8.76911591883088</v>
      </c>
      <c r="N34" s="18" t="n">
        <f aca="false">IF(N21&gt;0,N33/N21,0)</f>
        <v>-8.75610321125471</v>
      </c>
      <c r="O34" s="18" t="n">
        <f aca="false">IF(O21&gt;0,O33/O21,0)</f>
        <v>-7.58077624714113</v>
      </c>
      <c r="P34" s="18" t="n">
        <f aca="false">IF(P21&gt;0,P33/P21,0)</f>
        <v>-6.66218953924542</v>
      </c>
      <c r="Q34" s="18" t="n">
        <f aca="false">IF(Q21&gt;0,Q33/Q21,0)</f>
        <v>-5.8216699761664</v>
      </c>
      <c r="R34" s="18" t="n">
        <f aca="false">IF(R21&gt;0,R33/R21,0)</f>
        <v>-5.67834229444675</v>
      </c>
      <c r="S34" s="18" t="n">
        <f aca="false">IF(S21&gt;0,S33/S21,0)</f>
        <v>-4.93764826974179</v>
      </c>
      <c r="T34" s="18" t="n">
        <f aca="false">IF(T21&gt;0,T33/T21,0)</f>
        <v>-4.29489449311096</v>
      </c>
      <c r="U34" s="18" t="n">
        <f aca="false">IF(U21&gt;0,U33/U21,0)</f>
        <v>-3.74035526864643</v>
      </c>
      <c r="V34" s="18" t="n">
        <f aca="false">IF(V21&gt;0,V33/V21,0)</f>
        <v>-3.60489381650112</v>
      </c>
      <c r="W34" s="18" t="n">
        <f aca="false">IF(W21&gt;0,W33/W21,0)</f>
        <v>-3.11997076741149</v>
      </c>
      <c r="X34" s="18" t="n">
        <f aca="false">IF(X21&gt;0,X33/X21,0)</f>
        <v>-2.71068231978117</v>
      </c>
      <c r="Y34" s="18" t="n">
        <f aca="false">IF(Y21&gt;0,Y33/Y21,0)</f>
        <v>-2.3434336206056</v>
      </c>
      <c r="Z34" s="18" t="n">
        <f aca="false">IF(Z21&gt;0,Z33/Z21,0)</f>
        <v>-2.35874339497051</v>
      </c>
      <c r="AA34" s="18" t="n">
        <f aca="false">IF(AA21&gt;0,AA33/AA21,0)</f>
        <v>-2.16136234326225</v>
      </c>
      <c r="AB34" s="18" t="n">
        <f aca="false">IF(AB21&gt;0,AB33/AB21,0)</f>
        <v>-1.97828100616815</v>
      </c>
      <c r="AC34" s="18" t="n">
        <f aca="false">IF(AC21&gt;0,AC33/AC21,0)</f>
        <v>-1.80959002508157</v>
      </c>
      <c r="AD34" s="18" t="n">
        <f aca="false">IF(AD21&gt;0,AD33/AD21,0)</f>
        <v>-1.7939296461448</v>
      </c>
      <c r="AE34" s="18" t="n">
        <f aca="false">IF(AE21&gt;0,AE33/AE21,0)</f>
        <v>-1.6398366931864</v>
      </c>
      <c r="AF34" s="18" t="n">
        <f aca="false">IF(AF21&gt;0,AF33/AF21,0)</f>
        <v>-1.49979640939614</v>
      </c>
      <c r="AG34" s="18" t="n">
        <f aca="false">IF(AG21&gt;0,AG33/AG21,0)</f>
        <v>-1.37285764632003</v>
      </c>
      <c r="AH34" s="18" t="n">
        <f aca="false">IF(AH21&gt;0,AH33/AH21,0)</f>
        <v>-1.34479858732067</v>
      </c>
      <c r="AI34" s="18" t="n">
        <f aca="false">IF(AI21&gt;0,AI33/AI21,0)</f>
        <v>-1.22684152026813</v>
      </c>
      <c r="AJ34" s="18" t="n">
        <f aca="false">IF(AJ21&gt;0,AJ33/AJ21,0)</f>
        <v>-1.12130853323002</v>
      </c>
      <c r="AK34" s="18" t="n">
        <f aca="false">IF(AK21&gt;0,AK33/AK21,0)</f>
        <v>-1.02174844959104</v>
      </c>
    </row>
    <row r="35" customFormat="false" ht="15" hidden="false" customHeight="false" outlineLevel="0" collapsed="false">
      <c r="A35" s="5" t="s">
        <v>145</v>
      </c>
      <c r="B35" s="14" t="n">
        <f aca="false">B33</f>
        <v>-4828750</v>
      </c>
      <c r="C35" s="14" t="n">
        <f aca="false">B35+C33</f>
        <v>-9739685</v>
      </c>
      <c r="D35" s="14" t="n">
        <f aca="false">C35+D33</f>
        <v>-14724612.4</v>
      </c>
      <c r="E35" s="14" t="n">
        <f aca="false">D35+E33</f>
        <v>-19790155.95</v>
      </c>
      <c r="F35" s="14" t="n">
        <f aca="false">E35+F33</f>
        <v>-26127518.883</v>
      </c>
      <c r="G35" s="14" t="n">
        <f aca="false">F35+G33</f>
        <v>-32543653.49319</v>
      </c>
      <c r="H35" s="14" t="n">
        <f aca="false">G35+H33</f>
        <v>-39046203.9037327</v>
      </c>
      <c r="I35" s="14" t="n">
        <f aca="false">H35+I33</f>
        <v>-45643571.5755532</v>
      </c>
      <c r="J35" s="14" t="n">
        <f aca="false">I35+J33</f>
        <v>-53544982.1389154</v>
      </c>
      <c r="K35" s="14" t="n">
        <f aca="false">J35+K33</f>
        <v>-61531637.6175925</v>
      </c>
      <c r="L35" s="14" t="n">
        <f aca="false">K35+L33</f>
        <v>-69602871.298464</v>
      </c>
      <c r="M35" s="14" t="n">
        <f aca="false">L35+M33</f>
        <v>-77748424.4822646</v>
      </c>
      <c r="N35" s="14" t="n">
        <f aca="false">M35+N33</f>
        <v>-87196473.3976206</v>
      </c>
      <c r="O35" s="14" t="n">
        <f aca="false">N35+O33</f>
        <v>-96739776.7463153</v>
      </c>
      <c r="P35" s="14" t="n">
        <f aca="false">O35+P33</f>
        <v>-106390354.921017</v>
      </c>
      <c r="Q35" s="14" t="n">
        <f aca="false">P35+Q33</f>
        <v>-116139026.630993</v>
      </c>
      <c r="R35" s="14" t="n">
        <f aca="false">Q35+R33</f>
        <v>-127173508.556633</v>
      </c>
      <c r="S35" s="14" t="n">
        <f aca="false">R35+S33</f>
        <v>-138286012.088758</v>
      </c>
      <c r="T35" s="14" t="n">
        <f aca="false">S35+T33</f>
        <v>-149465815.651429</v>
      </c>
      <c r="U35" s="14" t="n">
        <f aca="false">T35+U33</f>
        <v>-160701760.250224</v>
      </c>
      <c r="V35" s="14" t="n">
        <f aca="false">U35+V33</f>
        <v>-173179171.872398</v>
      </c>
      <c r="W35" s="14" t="n">
        <f aca="false">V35+W33</f>
        <v>-185662216.371476</v>
      </c>
      <c r="X35" s="14" t="n">
        <f aca="false">W35+X33</f>
        <v>-198137119.574519</v>
      </c>
      <c r="Y35" s="14" t="n">
        <f aca="false">X35+Y33</f>
        <v>-210561327.883603</v>
      </c>
      <c r="Z35" s="14" t="n">
        <f aca="false">Y35+Z33</f>
        <v>-224324951.937461</v>
      </c>
      <c r="AA35" s="14" t="n">
        <f aca="false">Z35+AA33</f>
        <v>-238224378.594388</v>
      </c>
      <c r="AB35" s="14" t="n">
        <f aca="false">AA35+AB33</f>
        <v>-252256595.598131</v>
      </c>
      <c r="AC35" s="14" t="n">
        <f aca="false">AB35+AC33</f>
        <v>-266419356.042824</v>
      </c>
      <c r="AD35" s="14" t="n">
        <f aca="false">AC35+AD33</f>
        <v>-281911340.716669</v>
      </c>
      <c r="AE35" s="14" t="n">
        <f aca="false">AD35+AE33</f>
        <v>-297532426.931711</v>
      </c>
      <c r="AF35" s="14" t="n">
        <f aca="false">AE35+AF33</f>
        <v>-313283954.249382</v>
      </c>
      <c r="AG35" s="14" t="n">
        <f aca="false">AF35+AG33</f>
        <v>-329168946.137614</v>
      </c>
      <c r="AH35" s="14" t="n">
        <f aca="false">AG35+AH33</f>
        <v>-346355240.432179</v>
      </c>
      <c r="AI35" s="14" t="n">
        <f aca="false">AH35+AI33</f>
        <v>-363648093.932217</v>
      </c>
      <c r="AJ35" s="14" t="n">
        <f aca="false">AI35+AJ33</f>
        <v>-381055484.477946</v>
      </c>
      <c r="AK35" s="14" t="n">
        <f aca="false">AJ35+AK33</f>
        <v>-398547879.152171</v>
      </c>
    </row>
    <row r="37" customFormat="false" ht="15" hidden="false" customHeight="false" outlineLevel="0" collapsed="false">
      <c r="A37" s="3" t="s">
        <v>146</v>
      </c>
    </row>
    <row r="38" customFormat="false" ht="15" hidden="false" customHeight="false" outlineLevel="0" collapsed="false">
      <c r="A38" s="5" t="s">
        <v>147</v>
      </c>
      <c r="B38" s="19" t="n">
        <f aca="false">Assumptions!B48</f>
        <v>50000000</v>
      </c>
      <c r="C38" s="14" t="n">
        <f aca="false">IF(2=Assumptions!B50,Assumptions!B49,0)</f>
        <v>0</v>
      </c>
      <c r="D38" s="14" t="n">
        <f aca="false">IF(3=Assumptions!B50,Assumptions!B49,0)</f>
        <v>0</v>
      </c>
      <c r="E38" s="14" t="n">
        <f aca="false">IF(4=Assumptions!B50,Assumptions!B49,0)</f>
        <v>0</v>
      </c>
      <c r="F38" s="14" t="n">
        <f aca="false">IF(5=Assumptions!B50,Assumptions!B49,0)</f>
        <v>0</v>
      </c>
      <c r="G38" s="14" t="n">
        <f aca="false">IF(6=Assumptions!B50,Assumptions!B49,0)</f>
        <v>0</v>
      </c>
      <c r="H38" s="14" t="n">
        <f aca="false">IF(7=Assumptions!B50,Assumptions!B49,0)</f>
        <v>0</v>
      </c>
      <c r="I38" s="14" t="n">
        <f aca="false">IF(8=Assumptions!B50,Assumptions!B49,0)</f>
        <v>400000000</v>
      </c>
      <c r="J38" s="14" t="n">
        <f aca="false">IF(9=Assumptions!B50,Assumptions!B49,0)</f>
        <v>0</v>
      </c>
      <c r="K38" s="14" t="n">
        <f aca="false">IF(10=Assumptions!B50,Assumptions!B49,0)</f>
        <v>0</v>
      </c>
      <c r="L38" s="14" t="n">
        <f aca="false">IF(11=Assumptions!B50,Assumptions!B49,0)</f>
        <v>0</v>
      </c>
      <c r="M38" s="14" t="n">
        <f aca="false">IF(12=Assumptions!B50,Assumptions!B49,0)</f>
        <v>0</v>
      </c>
      <c r="N38" s="14" t="n">
        <f aca="false">IF(13=Assumptions!B50,Assumptions!B49,0)</f>
        <v>0</v>
      </c>
      <c r="O38" s="14" t="n">
        <f aca="false">IF(14=Assumptions!B50,Assumptions!B49,0)</f>
        <v>0</v>
      </c>
      <c r="P38" s="14" t="n">
        <f aca="false">IF(15=Assumptions!B50,Assumptions!B49,0)</f>
        <v>0</v>
      </c>
      <c r="Q38" s="14" t="n">
        <f aca="false">IF(16=Assumptions!B50,Assumptions!B49,0)</f>
        <v>0</v>
      </c>
      <c r="R38" s="14" t="n">
        <f aca="false">IF(17=Assumptions!B50,Assumptions!B49,0)</f>
        <v>0</v>
      </c>
      <c r="S38" s="14" t="n">
        <f aca="false">IF(18=Assumptions!B50,Assumptions!B49,0)</f>
        <v>0</v>
      </c>
      <c r="T38" s="14" t="n">
        <f aca="false">IF(19=Assumptions!B50,Assumptions!B49,0)</f>
        <v>0</v>
      </c>
      <c r="U38" s="14" t="n">
        <f aca="false">IF(20=Assumptions!B50,Assumptions!B49,0)</f>
        <v>0</v>
      </c>
      <c r="V38" s="14" t="n">
        <f aca="false">IF(21=Assumptions!B50,Assumptions!B49,0)</f>
        <v>0</v>
      </c>
      <c r="W38" s="14" t="n">
        <f aca="false">IF(22=Assumptions!B50,Assumptions!B49,0)</f>
        <v>0</v>
      </c>
      <c r="X38" s="14" t="n">
        <f aca="false">IF(23=Assumptions!B50,Assumptions!B49,0)</f>
        <v>0</v>
      </c>
      <c r="Y38" s="14" t="n">
        <f aca="false">IF(24=Assumptions!B50,Assumptions!B49,0)</f>
        <v>0</v>
      </c>
      <c r="Z38" s="14" t="n">
        <f aca="false">IF(25=Assumptions!B50,Assumptions!B49,0)</f>
        <v>0</v>
      </c>
      <c r="AA38" s="14" t="n">
        <f aca="false">IF(26=Assumptions!B50,Assumptions!B49,0)</f>
        <v>0</v>
      </c>
      <c r="AB38" s="14" t="n">
        <f aca="false">IF(27=Assumptions!B50,Assumptions!B49,0)</f>
        <v>0</v>
      </c>
      <c r="AC38" s="14" t="n">
        <f aca="false">IF(28=Assumptions!B50,Assumptions!B49,0)</f>
        <v>0</v>
      </c>
      <c r="AD38" s="14" t="n">
        <f aca="false">IF(29=Assumptions!B50,Assumptions!B49,0)</f>
        <v>0</v>
      </c>
      <c r="AE38" s="14" t="n">
        <f aca="false">IF(30=Assumptions!B50,Assumptions!B49,0)</f>
        <v>0</v>
      </c>
      <c r="AF38" s="14" t="n">
        <f aca="false">IF(31=Assumptions!B50,Assumptions!B49,0)</f>
        <v>0</v>
      </c>
      <c r="AG38" s="14" t="n">
        <f aca="false">IF(32=Assumptions!B50,Assumptions!B49,0)</f>
        <v>0</v>
      </c>
      <c r="AH38" s="14" t="n">
        <f aca="false">IF(33=Assumptions!B50,Assumptions!B49,0)</f>
        <v>0</v>
      </c>
      <c r="AI38" s="14" t="n">
        <f aca="false">IF(34=Assumptions!B50,Assumptions!B49,0)</f>
        <v>0</v>
      </c>
      <c r="AJ38" s="14" t="n">
        <f aca="false">IF(35=Assumptions!B50,Assumptions!B49,0)</f>
        <v>0</v>
      </c>
      <c r="AK38" s="14" t="n">
        <f aca="false">IF(36=Assumptions!B50,Assumptions!B49,0)</f>
        <v>0</v>
      </c>
    </row>
    <row r="39" customFormat="false" ht="15" hidden="false" customHeight="false" outlineLevel="0" collapsed="false">
      <c r="A39" s="4" t="s">
        <v>148</v>
      </c>
      <c r="B39" s="17" t="n">
        <f aca="false">B38+B33</f>
        <v>45171250</v>
      </c>
      <c r="C39" s="17" t="n">
        <f aca="false">B39+C38+C33</f>
        <v>40260315</v>
      </c>
      <c r="D39" s="17" t="n">
        <f aca="false">C39+D38+D33</f>
        <v>35275387.6</v>
      </c>
      <c r="E39" s="17" t="n">
        <f aca="false">D39+E38+E33</f>
        <v>30209844.05</v>
      </c>
      <c r="F39" s="17" t="n">
        <f aca="false">E39+F38+F33</f>
        <v>23872481.117</v>
      </c>
      <c r="G39" s="17" t="n">
        <f aca="false">F39+G38+G33</f>
        <v>17456346.50681</v>
      </c>
      <c r="H39" s="17" t="n">
        <f aca="false">G39+H38+H33</f>
        <v>10953796.0962673</v>
      </c>
      <c r="I39" s="17" t="n">
        <f aca="false">H39+I38+I33</f>
        <v>404356428.424447</v>
      </c>
      <c r="J39" s="17" t="n">
        <f aca="false">I39+J38+J33</f>
        <v>396455017.861085</v>
      </c>
      <c r="K39" s="17" t="n">
        <f aca="false">J39+K38+K33</f>
        <v>388468362.382408</v>
      </c>
      <c r="L39" s="17" t="n">
        <f aca="false">K39+L38+L33</f>
        <v>380397128.701536</v>
      </c>
      <c r="M39" s="17" t="n">
        <f aca="false">L39+M38+M33</f>
        <v>372251575.517735</v>
      </c>
      <c r="N39" s="17" t="n">
        <f aca="false">M39+N38+N33</f>
        <v>362803526.602379</v>
      </c>
      <c r="O39" s="17" t="n">
        <f aca="false">N39+O38+O33</f>
        <v>353260223.253685</v>
      </c>
      <c r="P39" s="17" t="n">
        <f aca="false">O39+P38+P33</f>
        <v>343609645.078983</v>
      </c>
      <c r="Q39" s="17" t="n">
        <f aca="false">P39+Q38+Q33</f>
        <v>333860973.369007</v>
      </c>
      <c r="R39" s="17" t="n">
        <f aca="false">Q39+R38+R33</f>
        <v>322826491.443367</v>
      </c>
      <c r="S39" s="17" t="n">
        <f aca="false">R39+S38+S33</f>
        <v>311713987.911242</v>
      </c>
      <c r="T39" s="17" t="n">
        <f aca="false">S39+T38+T33</f>
        <v>300534184.348571</v>
      </c>
      <c r="U39" s="17" t="n">
        <f aca="false">T39+U38+U33</f>
        <v>289298239.749776</v>
      </c>
      <c r="V39" s="17" t="n">
        <f aca="false">U39+V38+V33</f>
        <v>276820828.127602</v>
      </c>
      <c r="W39" s="17" t="n">
        <f aca="false">V39+W38+W33</f>
        <v>264337783.628524</v>
      </c>
      <c r="X39" s="17" t="n">
        <f aca="false">W39+X38+X33</f>
        <v>251862880.425481</v>
      </c>
      <c r="Y39" s="17" t="n">
        <f aca="false">X39+Y38+Y33</f>
        <v>239438672.116397</v>
      </c>
      <c r="Z39" s="17" t="n">
        <f aca="false">Y39+Z38+Z33</f>
        <v>225675048.062539</v>
      </c>
      <c r="AA39" s="17" t="n">
        <f aca="false">Z39+AA38+AA33</f>
        <v>211775621.405611</v>
      </c>
      <c r="AB39" s="17" t="n">
        <f aca="false">AA39+AB38+AB33</f>
        <v>197743404.401869</v>
      </c>
      <c r="AC39" s="17" t="n">
        <f aca="false">AB39+AC38+AC33</f>
        <v>183580643.957176</v>
      </c>
      <c r="AD39" s="17" t="n">
        <f aca="false">AC39+AD38+AD33</f>
        <v>168088659.283331</v>
      </c>
      <c r="AE39" s="17" t="n">
        <f aca="false">AD39+AE38+AE33</f>
        <v>152467573.068289</v>
      </c>
      <c r="AF39" s="17" t="n">
        <f aca="false">AE39+AF38+AF33</f>
        <v>136716045.750618</v>
      </c>
      <c r="AG39" s="17" t="n">
        <f aca="false">AF39+AG38+AG33</f>
        <v>120831053.862386</v>
      </c>
      <c r="AH39" s="17" t="n">
        <f aca="false">AG39+AH38+AH33</f>
        <v>103644759.567821</v>
      </c>
      <c r="AI39" s="17" t="n">
        <f aca="false">AH39+AI38+AI33</f>
        <v>86351906.0677833</v>
      </c>
      <c r="AJ39" s="17" t="n">
        <f aca="false">AI39+AJ38+AJ33</f>
        <v>68944515.522054</v>
      </c>
      <c r="AK39" s="17" t="n">
        <f aca="false">AJ39+AK38+AK33</f>
        <v>51452120.847829</v>
      </c>
    </row>
    <row r="40" customFormat="false" ht="15" hidden="false" customHeight="false" outlineLevel="0" collapsed="false">
      <c r="A40" s="5" t="s">
        <v>149</v>
      </c>
      <c r="B40" s="20" t="n">
        <f aca="false">IF(B33&lt;0,B39/ABS(B33),"∞")</f>
        <v>9.35464664768315</v>
      </c>
      <c r="C40" s="20" t="n">
        <f aca="false">IF(C33&lt;0,C39/ABS(C33),"∞")</f>
        <v>8.19809567831788</v>
      </c>
      <c r="D40" s="20" t="n">
        <f aca="false">IF(D33&lt;0,D39/ABS(D33),"∞")</f>
        <v>7.07640949795979</v>
      </c>
      <c r="E40" s="20" t="n">
        <f aca="false">IF(E33&lt;0,E39/ABS(E33),"∞")</f>
        <v>5.96379120065013</v>
      </c>
      <c r="F40" s="20" t="n">
        <f aca="false">IF(F33&lt;0,F39/ABS(F33),"∞")</f>
        <v>3.76694239692205</v>
      </c>
      <c r="G40" s="20" t="n">
        <f aca="false">IF(G33&lt;0,G39/ABS(G33),"∞")</f>
        <v>2.72069517978724</v>
      </c>
      <c r="H40" s="20" t="n">
        <f aca="false">IF(H33&lt;0,H39/ABS(H33),"∞")</f>
        <v>1.6845384356433</v>
      </c>
      <c r="I40" s="20" t="n">
        <f aca="false">IF(I33&lt;0,I39/ABS(I33),"∞")</f>
        <v>61.2905705030788</v>
      </c>
      <c r="J40" s="20" t="n">
        <f aca="false">IF(J33&lt;0,J39/ABS(J33),"∞")</f>
        <v>50.1752205738293</v>
      </c>
      <c r="K40" s="20" t="n">
        <f aca="false">IF(K33&lt;0,K39/ABS(K33),"∞")</f>
        <v>48.6396794527505</v>
      </c>
      <c r="L40" s="20" t="n">
        <f aca="false">IF(L33&lt;0,L39/ABS(L33),"∞")</f>
        <v>47.129985791771</v>
      </c>
      <c r="M40" s="20" t="n">
        <f aca="false">IF(M33&lt;0,M39/ABS(M33),"∞")</f>
        <v>45.6999748351098</v>
      </c>
      <c r="N40" s="20" t="n">
        <f aca="false">IF(N33&lt;0,N39/ABS(N33),"∞")</f>
        <v>38.3998357600277</v>
      </c>
      <c r="O40" s="20" t="n">
        <f aca="false">IF(O33&lt;0,O39/ABS(O33),"∞")</f>
        <v>37.0165560441923</v>
      </c>
      <c r="P40" s="20" t="n">
        <f aca="false">IF(P33&lt;0,P39/ABS(P33),"∞")</f>
        <v>35.6050838466596</v>
      </c>
      <c r="Q40" s="20" t="n">
        <f aca="false">IF(Q33&lt;0,Q39/ABS(Q33),"∞")</f>
        <v>34.2468167255371</v>
      </c>
      <c r="R40" s="20" t="n">
        <f aca="false">IF(R33&lt;0,R39/ABS(R33),"∞")</f>
        <v>29.2561529955711</v>
      </c>
      <c r="S40" s="20" t="n">
        <f aca="false">IF(S33&lt;0,S39/ABS(S33),"∞")</f>
        <v>28.0507436519698</v>
      </c>
      <c r="T40" s="20" t="n">
        <f aca="false">IF(T33&lt;0,T39/ABS(T33),"∞")</f>
        <v>26.8818841640508</v>
      </c>
      <c r="U40" s="20" t="n">
        <f aca="false">IF(U33&lt;0,U39/ABS(U33),"∞")</f>
        <v>25.7475673011771</v>
      </c>
      <c r="V40" s="20" t="n">
        <f aca="false">IF(V33&lt;0,V39/ABS(V33),"∞")</f>
        <v>22.1857574719795</v>
      </c>
      <c r="W40" s="20" t="n">
        <f aca="false">IF(W33&lt;0,W39/ABS(W33),"∞")</f>
        <v>21.1757463211838</v>
      </c>
      <c r="X40" s="20" t="n">
        <f aca="false">IF(X33&lt;0,X39/ABS(X33),"∞")</f>
        <v>20.1895659089398</v>
      </c>
      <c r="Y40" s="20" t="n">
        <f aca="false">IF(Y33&lt;0,Y39/ABS(Y33),"∞")</f>
        <v>19.2719460395178</v>
      </c>
      <c r="Z40" s="20" t="n">
        <f aca="false">IF(Z33&lt;0,Z39/ABS(Z33),"∞")</f>
        <v>16.3964844709109</v>
      </c>
      <c r="AA40" s="20" t="n">
        <f aca="false">IF(AA33&lt;0,AA39/ABS(AA33),"∞")</f>
        <v>15.2362846779768</v>
      </c>
      <c r="AB40" s="20" t="n">
        <f aca="false">IF(AB33&lt;0,AB39/ABS(AB33),"∞")</f>
        <v>14.0920999403823</v>
      </c>
      <c r="AC40" s="20" t="n">
        <f aca="false">IF(AC33&lt;0,AC39/ABS(AC33),"∞")</f>
        <v>12.9622078036327</v>
      </c>
      <c r="AD40" s="20" t="n">
        <f aca="false">IF(AD33&lt;0,AD39/ABS(AD33),"∞")</f>
        <v>10.8500403803724</v>
      </c>
      <c r="AE40" s="20" t="n">
        <f aca="false">IF(AE33&lt;0,AE39/ABS(AE33),"∞")</f>
        <v>9.76036947555367</v>
      </c>
      <c r="AF40" s="20" t="n">
        <f aca="false">IF(AF33&lt;0,AF39/ABS(AF33),"∞")</f>
        <v>8.67954217983921</v>
      </c>
      <c r="AG40" s="20" t="n">
        <f aca="false">IF(AG33&lt;0,AG39/ABS(AG33),"∞")</f>
        <v>7.60661728457694</v>
      </c>
      <c r="AH40" s="20" t="n">
        <f aca="false">IF(AH33&lt;0,AH39/ABS(AH33),"∞")</f>
        <v>6.03066360853565</v>
      </c>
      <c r="AI40" s="20" t="n">
        <f aca="false">IF(AI33&lt;0,AI39/ABS(AI33),"∞")</f>
        <v>4.99350243541915</v>
      </c>
      <c r="AJ40" s="20" t="n">
        <f aca="false">IF(AJ33&lt;0,AJ39/ABS(AJ33),"∞")</f>
        <v>3.96064621753251</v>
      </c>
      <c r="AK40" s="20" t="n">
        <f aca="false">IF(AK33&lt;0,AK39/ABS(AK33),"∞")</f>
        <v>2.94139949424098</v>
      </c>
    </row>
    <row r="42" customFormat="false" ht="15" hidden="false" customHeight="false" outlineLevel="0" collapsed="false">
      <c r="A42" s="3" t="s">
        <v>150</v>
      </c>
    </row>
    <row r="43" customFormat="false" ht="15" hidden="false" customHeight="false" outlineLevel="0" collapsed="false">
      <c r="A43" s="5" t="s">
        <v>151</v>
      </c>
      <c r="B43" s="14" t="n">
        <f aca="false">IF(B9&gt;0,B21/B9,0)</f>
        <v>16500</v>
      </c>
      <c r="C43" s="14" t="n">
        <f aca="false">IF(C9&gt;0,C21/C9,0)</f>
        <v>16995</v>
      </c>
      <c r="D43" s="14" t="n">
        <f aca="false">IF(D9&gt;0,D21/D9,0)</f>
        <v>17504.85</v>
      </c>
      <c r="E43" s="14" t="n">
        <f aca="false">IF(E9&gt;0,E21/E9,0)</f>
        <v>18029.99</v>
      </c>
      <c r="F43" s="14" t="n">
        <f aca="false">IF(F9&gt;0,F21/F9,0)</f>
        <v>18570.86</v>
      </c>
      <c r="G43" s="14" t="n">
        <f aca="false">IF(G9&gt;0,G21/G9,0)</f>
        <v>19128.01</v>
      </c>
      <c r="H43" s="14" t="n">
        <f aca="false">IF(H9&gt;0,H21/H9,0)</f>
        <v>19701.88</v>
      </c>
      <c r="I43" s="14" t="n">
        <f aca="false">IF(I9&gt;0,I21/I9,0)</f>
        <v>20292.91</v>
      </c>
      <c r="J43" s="14" t="n">
        <f aca="false">IF(J9&gt;0,J21/J9,0)</f>
        <v>20901.76</v>
      </c>
      <c r="K43" s="14" t="n">
        <f aca="false">IF(K9&gt;0,K21/K9,0)</f>
        <v>21911.1271034483</v>
      </c>
      <c r="L43" s="14" t="n">
        <f aca="false">IF(L9&gt;0,L21/L9,0)</f>
        <v>22556.4725588235</v>
      </c>
      <c r="M43" s="14" t="n">
        <f aca="false">IF(M9&gt;0,M21/M9,0)</f>
        <v>23222.2759375</v>
      </c>
      <c r="N43" s="14" t="n">
        <f aca="false">IF(N9&gt;0,N21/N9,0)</f>
        <v>23978.31975</v>
      </c>
      <c r="O43" s="14" t="n">
        <f aca="false">IF(O9&gt;0,O21/O9,0)</f>
        <v>24683.9622977941</v>
      </c>
      <c r="P43" s="14" t="n">
        <f aca="false">IF(P9&gt;0,P21/P9,0)</f>
        <v>25413.3251587171</v>
      </c>
      <c r="Q43" s="14" t="n">
        <f aca="false">IF(Q9&gt;0,Q21/Q9,0)</f>
        <v>26164.8283210816</v>
      </c>
      <c r="R43" s="14" t="n">
        <f aca="false">IF(R9&gt;0,R21/R9,0)</f>
        <v>26989.6891495142</v>
      </c>
      <c r="S43" s="14" t="n">
        <f aca="false">IF(S9&gt;0,S21/S9,0)</f>
        <v>27784.7659728799</v>
      </c>
      <c r="T43" s="14" t="n">
        <f aca="false">IF(T9&gt;0,T21/T9,0)</f>
        <v>28604.88992273</v>
      </c>
      <c r="U43" s="14" t="n">
        <f aca="false">IF(U9&gt;0,U21/U9,0)</f>
        <v>29450.7638136456</v>
      </c>
      <c r="V43" s="14" t="n">
        <f aca="false">IF(V9&gt;0,V21/V9,0)</f>
        <v>30361.7761613035</v>
      </c>
      <c r="W43" s="14" t="n">
        <f aca="false">IF(W9&gt;0,W21/W9,0)</f>
        <v>31257.9163137346</v>
      </c>
      <c r="X43" s="14" t="n">
        <f aca="false">IF(X9&gt;0,X21/X9,0)</f>
        <v>32182.7034836778</v>
      </c>
      <c r="Y43" s="14" t="n">
        <f aca="false">IF(Y9&gt;0,Y21/Y9,0)</f>
        <v>33135.6950967139</v>
      </c>
      <c r="Z43" s="14" t="n">
        <f aca="false">IF(Z9&gt;0,Z21/Z9,0)</f>
        <v>34123.690489754</v>
      </c>
      <c r="AA43" s="14" t="n">
        <f aca="false">IF(AA9&gt;0,AA21/AA9,0)</f>
        <v>35141.3317473242</v>
      </c>
      <c r="AB43" s="14" t="n">
        <f aca="false">IF(AB9&gt;0,AB21/AB9,0)</f>
        <v>36189.4714013947</v>
      </c>
      <c r="AC43" s="14" t="n">
        <f aca="false">IF(AC9&gt;0,AC21/AC9,0)</f>
        <v>37269.0584433668</v>
      </c>
      <c r="AD43" s="14" t="n">
        <f aca="false">IF(AD9&gt;0,AD21/AD9,0)</f>
        <v>38381.2516644994</v>
      </c>
      <c r="AE43" s="14" t="n">
        <f aca="false">IF(AE9&gt;0,AE21/AE9,0)</f>
        <v>39526.9757006763</v>
      </c>
      <c r="AF43" s="14" t="n">
        <f aca="false">IF(AF9&gt;0,AF21/AF9,0)</f>
        <v>40707.1460375238</v>
      </c>
      <c r="AG43" s="14" t="n">
        <f aca="false">IF(AG9&gt;0,AG21/AG9,0)</f>
        <v>41923.0053384609</v>
      </c>
      <c r="AH43" s="14" t="n">
        <f aca="false">IF(AH9&gt;0,AH21/AH9,0)</f>
        <v>43175.0937252904</v>
      </c>
      <c r="AI43" s="14" t="n">
        <f aca="false">IF(AI9&gt;0,AI21/AI9,0)</f>
        <v>44465.0653136286</v>
      </c>
      <c r="AJ43" s="14" t="n">
        <f aca="false">IF(AJ9&gt;0,AJ21/AJ9,0)</f>
        <v>45794.0282504167</v>
      </c>
      <c r="AK43" s="14" t="n">
        <f aca="false">IF(AK9&gt;0,AK21/AK9,0)</f>
        <v>47162.6994881152</v>
      </c>
    </row>
    <row r="44" customFormat="false" ht="15" hidden="false" customHeight="false" outlineLevel="0" collapsed="false">
      <c r="A44" s="5" t="s">
        <v>152</v>
      </c>
      <c r="B44" s="18" t="n">
        <f aca="false">IF(B21&gt;0,(B21-B27)/B21,0)</f>
        <v>0.863636363636364</v>
      </c>
      <c r="C44" s="18" t="n">
        <f aca="false">IF(C21&gt;0,(C21-C27)/C21,0)</f>
        <v>0.863636363636364</v>
      </c>
      <c r="D44" s="18" t="n">
        <f aca="false">IF(D21&gt;0,(D21-D27)/D21,0)</f>
        <v>0.863636363636364</v>
      </c>
      <c r="E44" s="18" t="n">
        <f aca="false">IF(E21&gt;0,(E21-E27)/E21,0)</f>
        <v>0.863636363636364</v>
      </c>
      <c r="F44" s="18" t="n">
        <f aca="false">IF(F21&gt;0,(F21-F27)/F21,0)</f>
        <v>0.863636363636364</v>
      </c>
      <c r="G44" s="18" t="n">
        <f aca="false">IF(G21&gt;0,(G21-G27)/G21,0)</f>
        <v>0.863636363636364</v>
      </c>
      <c r="H44" s="18" t="n">
        <f aca="false">IF(H21&gt;0,(H21-H27)/H21,0)</f>
        <v>0.863636363636364</v>
      </c>
      <c r="I44" s="18" t="n">
        <f aca="false">IF(I21&gt;0,(I21-I27)/I21,0)</f>
        <v>0.863636363636364</v>
      </c>
      <c r="J44" s="18" t="n">
        <f aca="false">IF(J21&gt;0,(J21-J27)/J21,0)</f>
        <v>0.863636363636364</v>
      </c>
      <c r="K44" s="18" t="n">
        <f aca="false">IF(K21&gt;0,(K21-K27)/K21,0)</f>
        <v>0.864835704024581</v>
      </c>
      <c r="L44" s="18" t="n">
        <f aca="false">IF(L21&gt;0,(L21-L27)/L21,0)</f>
        <v>0.864918295324772</v>
      </c>
      <c r="M44" s="18" t="n">
        <f aca="false">IF(M21&gt;0,(M21-M27)/M21,0)</f>
        <v>0.864991834416316</v>
      </c>
      <c r="N44" s="18" t="n">
        <f aca="false">IF(N21&gt;0,(N21-N27)/N21,0)</f>
        <v>0.864604879163812</v>
      </c>
      <c r="O44" s="18" t="n">
        <f aca="false">IF(O21&gt;0,(O21-O27)/O21,0)</f>
        <v>0.864691489010984</v>
      </c>
      <c r="P44" s="18" t="n">
        <f aca="false">IF(P21&gt;0,(P21-P27)/P21,0)</f>
        <v>0.864759674877532</v>
      </c>
      <c r="Q44" s="18" t="n">
        <f aca="false">IF(Q21&gt;0,(Q21-Q27)/Q21,0)</f>
        <v>0.864824892096561</v>
      </c>
      <c r="R44" s="18" t="n">
        <f aca="false">IF(R21&gt;0,(R21-R27)/R21,0)</f>
        <v>0.864594146751268</v>
      </c>
      <c r="S44" s="18" t="n">
        <f aca="false">IF(S21&gt;0,(S21-S27)/S21,0)</f>
        <v>0.864676008692528</v>
      </c>
      <c r="T44" s="18" t="n">
        <f aca="false">IF(T21&gt;0,(T21-T27)/T21,0)</f>
        <v>0.864749277945835</v>
      </c>
      <c r="U44" s="18" t="n">
        <f aca="false">IF(U21&gt;0,(U21-U27)/U21,0)</f>
        <v>0.864814321139087</v>
      </c>
      <c r="V44" s="18" t="n">
        <f aca="false">IF(V21&gt;0,(V21-V27)/V21,0)</f>
        <v>0.864673136754317</v>
      </c>
      <c r="W44" s="18" t="n">
        <f aca="false">IF(W21&gt;0,(W21-W27)/W21,0)</f>
        <v>0.864746250511155</v>
      </c>
      <c r="X44" s="18" t="n">
        <f aca="false">IF(X21&gt;0,(X21-X27)/X21,0)</f>
        <v>0.864809397534844</v>
      </c>
      <c r="Y44" s="18" t="n">
        <f aca="false">IF(Y21&gt;0,(Y21-Y27)/Y21,0)</f>
        <v>0.864867970796437</v>
      </c>
      <c r="Z44" s="18" t="n">
        <f aca="false">IF(Z21&gt;0,(Z21-Z27)/Z21,0)</f>
        <v>0.864895696859504</v>
      </c>
      <c r="AA44" s="18" t="n">
        <f aca="false">IF(AA21&gt;0,(AA21-AA27)/AA21,0)</f>
        <v>0.86492288159571</v>
      </c>
      <c r="AB44" s="18" t="n">
        <f aca="false">IF(AB21&gt;0,(AB21-AB27)/AB21,0)</f>
        <v>0.864949204180992</v>
      </c>
      <c r="AC44" s="18" t="n">
        <f aca="false">IF(AC21&gt;0,(AC21-AC27)/AC21,0)</f>
        <v>0.864974445694303</v>
      </c>
      <c r="AD44" s="18" t="n">
        <f aca="false">IF(AD21&gt;0,(AD21-AD27)/AD21,0)</f>
        <v>0.864998470749084</v>
      </c>
      <c r="AE44" s="18" t="n">
        <f aca="false">IF(AE21&gt;0,(AE21-AE27)/AE21,0)</f>
        <v>0.865021203682744</v>
      </c>
      <c r="AF44" s="18" t="n">
        <f aca="false">IF(AF21&gt;0,(AF21-AF27)/AF21,0)</f>
        <v>0.865042616626138</v>
      </c>
      <c r="AG44" s="18" t="n">
        <f aca="false">IF(AG21&gt;0,(AG21-AG27)/AG21,0)</f>
        <v>0.865062719943332</v>
      </c>
      <c r="AH44" s="18" t="n">
        <f aca="false">IF(AH21&gt;0,(AH21-AH27)/AH21,0)</f>
        <v>0.86508285667195</v>
      </c>
      <c r="AI44" s="18" t="n">
        <f aca="false">IF(AI21&gt;0,(AI21-AI27)/AI21,0)</f>
        <v>0.865101481168117</v>
      </c>
      <c r="AJ44" s="18" t="n">
        <f aca="false">IF(AJ21&gt;0,(AJ21-AJ27)/AJ21,0)</f>
        <v>0.86511870698373</v>
      </c>
      <c r="AK44" s="18" t="n">
        <f aca="false">IF(AK21&gt;0,(AK21-AK27)/AK21,0)</f>
        <v>0.865135567011032</v>
      </c>
    </row>
    <row r="45" customFormat="false" ht="15" hidden="false" customHeight="false" outlineLevel="0" collapsed="false">
      <c r="A45" s="5" t="s">
        <v>153</v>
      </c>
      <c r="B45" s="12" t="n">
        <f aca="false">Assumptions!B35+INT((1-1)/Assumptions!B37)</f>
        <v>3</v>
      </c>
      <c r="C45" s="12" t="n">
        <f aca="false">Assumptions!B35+INT((2-1)/Assumptions!B37)</f>
        <v>3</v>
      </c>
      <c r="D45" s="12" t="n">
        <f aca="false">Assumptions!B35+INT((3-1)/Assumptions!B37)</f>
        <v>3</v>
      </c>
      <c r="E45" s="12" t="n">
        <f aca="false">Assumptions!B35+INT((4-1)/Assumptions!B37)</f>
        <v>3</v>
      </c>
      <c r="F45" s="12" t="n">
        <f aca="false">Assumptions!B35+INT((5-1)/Assumptions!B37)</f>
        <v>4</v>
      </c>
      <c r="G45" s="12" t="n">
        <f aca="false">Assumptions!B35+INT((6-1)/Assumptions!B37)</f>
        <v>4</v>
      </c>
      <c r="H45" s="12" t="n">
        <f aca="false">Assumptions!B35+INT((7-1)/Assumptions!B37)</f>
        <v>4</v>
      </c>
      <c r="I45" s="12" t="n">
        <f aca="false">Assumptions!B35+INT((8-1)/Assumptions!B37)</f>
        <v>4</v>
      </c>
      <c r="J45" s="12" t="n">
        <f aca="false">Assumptions!B35+INT((9-1)/Assumptions!B37)</f>
        <v>5</v>
      </c>
      <c r="K45" s="12" t="n">
        <f aca="false">Assumptions!B35+INT((10-1)/Assumptions!B37)</f>
        <v>5</v>
      </c>
      <c r="L45" s="12" t="n">
        <f aca="false">Assumptions!B35+INT((11-1)/Assumptions!B37)</f>
        <v>5</v>
      </c>
      <c r="M45" s="12" t="n">
        <f aca="false">Assumptions!B35+INT((12-1)/Assumptions!B37)</f>
        <v>5</v>
      </c>
      <c r="N45" s="12" t="n">
        <f aca="false">Assumptions!B35+INT((13-1)/Assumptions!B37)</f>
        <v>6</v>
      </c>
      <c r="O45" s="12" t="n">
        <f aca="false">Assumptions!B35+INT((14-1)/Assumptions!B37)</f>
        <v>6</v>
      </c>
      <c r="P45" s="12" t="n">
        <f aca="false">Assumptions!B35+INT((15-1)/Assumptions!B37)</f>
        <v>6</v>
      </c>
      <c r="Q45" s="12" t="n">
        <f aca="false">Assumptions!B35+INT((16-1)/Assumptions!B37)</f>
        <v>6</v>
      </c>
      <c r="R45" s="12" t="n">
        <f aca="false">Assumptions!B35+INT((17-1)/Assumptions!B37)</f>
        <v>7</v>
      </c>
      <c r="S45" s="12" t="n">
        <f aca="false">Assumptions!B35+INT((18-1)/Assumptions!B37)</f>
        <v>7</v>
      </c>
      <c r="T45" s="12" t="n">
        <f aca="false">Assumptions!B35+INT((19-1)/Assumptions!B37)</f>
        <v>7</v>
      </c>
      <c r="U45" s="12" t="n">
        <f aca="false">Assumptions!B35+INT((20-1)/Assumptions!B37)</f>
        <v>7</v>
      </c>
      <c r="V45" s="12" t="n">
        <f aca="false">Assumptions!B35+INT((21-1)/Assumptions!B37)</f>
        <v>8</v>
      </c>
      <c r="W45" s="12" t="n">
        <f aca="false">Assumptions!B35+INT((22-1)/Assumptions!B37)</f>
        <v>8</v>
      </c>
      <c r="X45" s="12" t="n">
        <f aca="false">Assumptions!B35+INT((23-1)/Assumptions!B37)</f>
        <v>8</v>
      </c>
      <c r="Y45" s="12" t="n">
        <f aca="false">Assumptions!B35+INT((24-1)/Assumptions!B37)</f>
        <v>8</v>
      </c>
      <c r="Z45" s="12" t="n">
        <f aca="false">Assumptions!B35+INT((25-1)/Assumptions!B37)</f>
        <v>9</v>
      </c>
      <c r="AA45" s="12" t="n">
        <f aca="false">Assumptions!B35+INT((26-1)/Assumptions!B37)</f>
        <v>9</v>
      </c>
      <c r="AB45" s="12" t="n">
        <f aca="false">Assumptions!B35+INT((27-1)/Assumptions!B37)</f>
        <v>9</v>
      </c>
      <c r="AC45" s="12" t="n">
        <f aca="false">Assumptions!B35+INT((28-1)/Assumptions!B37)</f>
        <v>9</v>
      </c>
      <c r="AD45" s="12" t="n">
        <f aca="false">Assumptions!B35+INT((29-1)/Assumptions!B37)</f>
        <v>10</v>
      </c>
      <c r="AE45" s="12" t="n">
        <f aca="false">Assumptions!B35+INT((30-1)/Assumptions!B37)</f>
        <v>10</v>
      </c>
      <c r="AF45" s="12" t="n">
        <f aca="false">Assumptions!B35+INT((31-1)/Assumptions!B37)</f>
        <v>10</v>
      </c>
      <c r="AG45" s="12" t="n">
        <f aca="false">Assumptions!B35+INT((32-1)/Assumptions!B37)</f>
        <v>10</v>
      </c>
      <c r="AH45" s="12" t="n">
        <f aca="false">Assumptions!B35+INT((33-1)/Assumptions!B37)</f>
        <v>11</v>
      </c>
      <c r="AI45" s="12" t="n">
        <f aca="false">Assumptions!B35+INT((34-1)/Assumptions!B37)</f>
        <v>11</v>
      </c>
      <c r="AJ45" s="12" t="n">
        <f aca="false">Assumptions!B35+INT((35-1)/Assumptions!B37)</f>
        <v>11</v>
      </c>
      <c r="AK45" s="12" t="n">
        <f aca="false">Assumptions!B35+INT((36-1)/Assumptions!B37)</f>
        <v>11</v>
      </c>
    </row>
    <row r="46" customFormat="false" ht="15" hidden="false" customHeight="false" outlineLevel="0" collapsed="false">
      <c r="A46" s="5" t="s">
        <v>154</v>
      </c>
      <c r="B46" s="14" t="n">
        <f aca="false">IF(B45&gt;0,B21/B45,0)</f>
        <v>27500</v>
      </c>
      <c r="C46" s="14" t="n">
        <f aca="false">IF(C45&gt;0,C21/C45,0)</f>
        <v>33990</v>
      </c>
      <c r="D46" s="14" t="n">
        <f aca="false">IF(D45&gt;0,D21/D45,0)</f>
        <v>46679.6</v>
      </c>
      <c r="E46" s="14" t="n">
        <f aca="false">IF(E45&gt;0,E21/E45,0)</f>
        <v>60099.9666666667</v>
      </c>
      <c r="F46" s="14" t="n">
        <f aca="false">IF(F45&gt;0,F21/F45,0)</f>
        <v>60355.295</v>
      </c>
      <c r="G46" s="14" t="n">
        <f aca="false">IF(G45&gt;0,G21/G45,0)</f>
        <v>76512.04</v>
      </c>
      <c r="H46" s="14" t="n">
        <f aca="false">IF(H45&gt;0,H21/H45,0)</f>
        <v>93583.93</v>
      </c>
      <c r="I46" s="14" t="n">
        <f aca="false">IF(I45&gt;0,I21/I45,0)</f>
        <v>111611.005</v>
      </c>
      <c r="J46" s="14" t="n">
        <f aca="false">IF(J45&gt;0,J21/J45,0)</f>
        <v>104508.8</v>
      </c>
      <c r="K46" s="14" t="n">
        <f aca="false">IF(K45&gt;0,K21/K45,0)</f>
        <v>127084.5372</v>
      </c>
      <c r="L46" s="14" t="n">
        <f aca="false">IF(L45&gt;0,L21/L45,0)</f>
        <v>153384.0134</v>
      </c>
      <c r="M46" s="14" t="n">
        <f aca="false">IF(M45&gt;0,M21/M45,0)</f>
        <v>185778.2075</v>
      </c>
      <c r="N46" s="14" t="n">
        <f aca="false">IF(N45&gt;0,N21/N45,0)</f>
        <v>179837.398125</v>
      </c>
      <c r="O46" s="14" t="n">
        <f aca="false">IF(O45&gt;0,O21/O45,0)</f>
        <v>209813.67953125</v>
      </c>
      <c r="P46" s="14" t="n">
        <f aca="false">IF(P45&gt;0,P21/P45,0)</f>
        <v>241426.589007812</v>
      </c>
      <c r="Q46" s="14" t="n">
        <f aca="false">IF(Q45&gt;0,Q21/Q45,0)</f>
        <v>279091.502091537</v>
      </c>
      <c r="R46" s="14" t="n">
        <f aca="false">IF(R45&gt;0,R21/R45,0)</f>
        <v>277608.231252146</v>
      </c>
      <c r="S46" s="14" t="n">
        <f aca="false">IF(S45&gt;0,S21/S45,0)</f>
        <v>321509.434829039</v>
      </c>
      <c r="T46" s="14" t="n">
        <f aca="false">IF(T45&gt;0,T21/T45,0)</f>
        <v>371863.568995491</v>
      </c>
      <c r="U46" s="14" t="n">
        <f aca="false">IF(U45&gt;0,U21/U45,0)</f>
        <v>429139.701284551</v>
      </c>
      <c r="V46" s="14" t="n">
        <f aca="false">IF(V45&gt;0,V21/V45,0)</f>
        <v>432655.310298575</v>
      </c>
      <c r="W46" s="14" t="n">
        <f aca="false">IF(W45&gt;0,W21/W45,0)</f>
        <v>500126.661019754</v>
      </c>
      <c r="X46" s="14" t="n">
        <f aca="false">IF(X45&gt;0,X21/X45,0)</f>
        <v>575265.824770741</v>
      </c>
      <c r="Y46" s="14" t="n">
        <f aca="false">IF(Y45&gt;0,Y21/Y45,0)</f>
        <v>662713.901934278</v>
      </c>
      <c r="Z46" s="14" t="n">
        <f aca="false">IF(Z45&gt;0,Z21/Z45,0)</f>
        <v>648350.119305326</v>
      </c>
      <c r="AA46" s="14" t="n">
        <f aca="false">IF(AA45&gt;0,AA21/AA45,0)</f>
        <v>714540.412195593</v>
      </c>
      <c r="AB46" s="14" t="n">
        <f aca="false">IF(AB45&gt;0,AB21/AB45,0)</f>
        <v>788126.266074817</v>
      </c>
      <c r="AC46" s="14" t="n">
        <f aca="false">IF(AC45&gt;0,AC21/AC45,0)</f>
        <v>869611.363678558</v>
      </c>
      <c r="AD46" s="14" t="n">
        <f aca="false">IF(AD45&gt;0,AD21/AD45,0)</f>
        <v>863578.162451237</v>
      </c>
      <c r="AE46" s="14" t="n">
        <f aca="false">IF(AE45&gt;0,AE21/AE45,0)</f>
        <v>952600.114386299</v>
      </c>
      <c r="AF46" s="14" t="n">
        <f aca="false">IF(AF45&gt;0,AF21/AF45,0)</f>
        <v>1050244.36776811</v>
      </c>
      <c r="AG46" s="14" t="n">
        <f aca="false">IF(AG45&gt;0,AG21/AG45,0)</f>
        <v>1157074.94734152</v>
      </c>
      <c r="AH46" s="14" t="n">
        <f aca="false">IF(AH45&gt;0,AH21/AH45,0)</f>
        <v>1161802.52206236</v>
      </c>
      <c r="AI46" s="14" t="n">
        <f aca="false">IF(AI45&gt;0,AI21/AI45,0)</f>
        <v>1281402.33676548</v>
      </c>
      <c r="AJ46" s="14" t="n">
        <f aca="false">IF(AJ45&gt;0,AJ21/AJ45,0)</f>
        <v>1411288.6888083</v>
      </c>
      <c r="AK46" s="14" t="n">
        <f aca="false">IF(AK45&gt;0,AK21/AK45,0)</f>
        <v>1556369.0831078</v>
      </c>
    </row>
    <row r="47" customFormat="false" ht="15" hidden="false" customHeight="false" outlineLevel="0" collapsed="false">
      <c r="A47" s="5" t="s">
        <v>155</v>
      </c>
      <c r="B47" s="21" t="n">
        <f aca="false">B21/Assumptions!B45</f>
        <v>51.5625</v>
      </c>
      <c r="C47" s="21" t="n">
        <f aca="false">C21/Assumptions!B45</f>
        <v>63.73125</v>
      </c>
      <c r="D47" s="21" t="n">
        <f aca="false">D21/Assumptions!B45</f>
        <v>87.52425</v>
      </c>
      <c r="E47" s="21" t="n">
        <f aca="false">E21/Assumptions!B45</f>
        <v>112.6874375</v>
      </c>
      <c r="F47" s="21" t="n">
        <f aca="false">F21/Assumptions!B45</f>
        <v>150.8882375</v>
      </c>
      <c r="G47" s="21" t="n">
        <f aca="false">G21/Assumptions!B45</f>
        <v>191.2801</v>
      </c>
      <c r="H47" s="21" t="n">
        <f aca="false">H21/Assumptions!B45</f>
        <v>233.959825</v>
      </c>
      <c r="I47" s="21" t="n">
        <f aca="false">I21/Assumptions!B45</f>
        <v>279.0275125</v>
      </c>
      <c r="J47" s="21" t="n">
        <f aca="false">J21/Assumptions!B45</f>
        <v>326.59</v>
      </c>
      <c r="K47" s="21" t="n">
        <f aca="false">K21/Assumptions!B45</f>
        <v>397.13917875</v>
      </c>
      <c r="L47" s="21" t="n">
        <f aca="false">L21/Assumptions!B45</f>
        <v>479.325041875</v>
      </c>
      <c r="M47" s="21" t="n">
        <f aca="false">M21/Assumptions!B45</f>
        <v>580.5568984375</v>
      </c>
      <c r="N47" s="21" t="n">
        <f aca="false">N21/Assumptions!B45</f>
        <v>674.39024296875</v>
      </c>
      <c r="O47" s="21" t="n">
        <f aca="false">O21/Assumptions!B45</f>
        <v>786.801298242188</v>
      </c>
      <c r="P47" s="21" t="n">
        <f aca="false">P21/Assumptions!B45</f>
        <v>905.349708779297</v>
      </c>
      <c r="Q47" s="21" t="n">
        <f aca="false">Q21/Assumptions!B45</f>
        <v>1046.59313284326</v>
      </c>
      <c r="R47" s="21" t="n">
        <f aca="false">R21/Assumptions!B45</f>
        <v>1214.53601172814</v>
      </c>
      <c r="S47" s="21" t="n">
        <f aca="false">S21/Assumptions!B45</f>
        <v>1406.60377737704</v>
      </c>
      <c r="T47" s="21" t="n">
        <f aca="false">T21/Assumptions!B45</f>
        <v>1626.90311435527</v>
      </c>
      <c r="U47" s="21" t="n">
        <f aca="false">U21/Assumptions!B45</f>
        <v>1877.48619311991</v>
      </c>
      <c r="V47" s="21" t="n">
        <f aca="false">V21/Assumptions!B45</f>
        <v>2163.27655149287</v>
      </c>
      <c r="W47" s="21" t="n">
        <f aca="false">W21/Assumptions!B45</f>
        <v>2500.63330509877</v>
      </c>
      <c r="X47" s="21" t="n">
        <f aca="false">X21/Assumptions!B45</f>
        <v>2876.32912385371</v>
      </c>
      <c r="Y47" s="21" t="n">
        <f aca="false">Y21/Assumptions!B45</f>
        <v>3313.56950967139</v>
      </c>
      <c r="Z47" s="21" t="n">
        <f aca="false">Z21/Assumptions!B45</f>
        <v>3646.96942109246</v>
      </c>
      <c r="AA47" s="21" t="n">
        <f aca="false">AA21/Assumptions!B45</f>
        <v>4019.28981860021</v>
      </c>
      <c r="AB47" s="21" t="n">
        <f aca="false">AB21/Assumptions!B45</f>
        <v>4433.21024667085</v>
      </c>
      <c r="AC47" s="21" t="n">
        <f aca="false">AC21/Assumptions!B45</f>
        <v>4891.56392069189</v>
      </c>
      <c r="AD47" s="21" t="n">
        <f aca="false">AD21/Assumptions!B45</f>
        <v>5397.36351532023</v>
      </c>
      <c r="AE47" s="21" t="n">
        <f aca="false">AE21/Assumptions!B45</f>
        <v>5953.75071491437</v>
      </c>
      <c r="AF47" s="21" t="n">
        <f aca="false">AF21/Assumptions!B45</f>
        <v>6564.02729855071</v>
      </c>
      <c r="AG47" s="21" t="n">
        <f aca="false">AG21/Assumptions!B45</f>
        <v>7231.7184208845</v>
      </c>
      <c r="AH47" s="21" t="n">
        <f aca="false">AH21/Assumptions!B45</f>
        <v>7987.39233917872</v>
      </c>
      <c r="AI47" s="21" t="n">
        <f aca="false">AI21/Assumptions!B45</f>
        <v>8809.64106526266</v>
      </c>
      <c r="AJ47" s="21" t="n">
        <f aca="false">AJ21/Assumptions!B45</f>
        <v>9702.60973555704</v>
      </c>
      <c r="AK47" s="21" t="n">
        <f aca="false">AK21/Assumptions!B45</f>
        <v>10700.0374463661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1" t="s">
        <v>156</v>
      </c>
    </row>
    <row r="2" customFormat="false" ht="15" hidden="false" customHeight="false" outlineLevel="0" collapsed="false">
      <c r="A2" s="2" t="s">
        <v>157</v>
      </c>
    </row>
    <row r="4" customFormat="false" ht="15" hidden="false" customHeight="false" outlineLevel="0" collapsed="false">
      <c r="A4" s="10"/>
      <c r="B4" s="10" t="s">
        <v>158</v>
      </c>
      <c r="C4" s="10" t="s">
        <v>159</v>
      </c>
      <c r="D4" s="10" t="s">
        <v>160</v>
      </c>
    </row>
    <row r="6" customFormat="false" ht="15" hidden="false" customHeight="false" outlineLevel="0" collapsed="false">
      <c r="A6" s="3" t="s">
        <v>121</v>
      </c>
    </row>
    <row r="7" customFormat="false" ht="15" hidden="false" customHeight="false" outlineLevel="0" collapsed="false">
      <c r="A7" s="5" t="s">
        <v>161</v>
      </c>
      <c r="B7" s="12" t="n">
        <f aca="false">'Monthly P&amp;L'!M9</f>
        <v>40</v>
      </c>
      <c r="C7" s="12" t="n">
        <f aca="false">'Monthly P&amp;L'!Y9</f>
        <v>160</v>
      </c>
      <c r="D7" s="12" t="n">
        <f aca="false">'Monthly P&amp;L'!AK9</f>
        <v>363</v>
      </c>
    </row>
    <row r="8" customFormat="false" ht="15" hidden="false" customHeight="false" outlineLevel="0" collapsed="false">
      <c r="A8" s="5" t="s">
        <v>162</v>
      </c>
      <c r="B8" s="12" t="n">
        <f aca="false">ROUND(AVERAGE('Monthly P&amp;L'!B9:M9),0)</f>
        <v>19</v>
      </c>
      <c r="C8" s="12" t="n">
        <f aca="false">ROUND(AVERAGE('Monthly P&amp;L'!N9:Y9),0)</f>
        <v>92</v>
      </c>
      <c r="D8" s="12" t="n">
        <f aca="false">ROUND(AVERAGE('Monthly P&amp;L'!Z9:AK9),0)</f>
        <v>256</v>
      </c>
    </row>
    <row r="9" customFormat="false" ht="15" hidden="false" customHeight="false" outlineLevel="0" collapsed="false">
      <c r="A9" s="5" t="s">
        <v>163</v>
      </c>
      <c r="B9" s="12" t="n">
        <f aca="false">'Monthly P&amp;L'!M10</f>
        <v>1</v>
      </c>
      <c r="C9" s="12" t="n">
        <f aca="false">'Monthly P&amp;L'!Y10</f>
        <v>4</v>
      </c>
      <c r="D9" s="12" t="n">
        <f aca="false">'Monthly P&amp;L'!AK10</f>
        <v>4</v>
      </c>
    </row>
    <row r="11" customFormat="false" ht="15" hidden="false" customHeight="false" outlineLevel="0" collapsed="false">
      <c r="A11" s="3" t="s">
        <v>126</v>
      </c>
    </row>
    <row r="12" customFormat="false" ht="15" hidden="false" customHeight="false" outlineLevel="0" collapsed="false">
      <c r="A12" s="5" t="s">
        <v>164</v>
      </c>
      <c r="B12" s="14" t="n">
        <f aca="false">SUM('Monthly P&amp;L'!B15:M15)</f>
        <v>3409065.6</v>
      </c>
      <c r="C12" s="14" t="n">
        <f aca="false">SUM('Monthly P&amp;L'!N15:Y15)</f>
        <v>23303662.4</v>
      </c>
      <c r="D12" s="14" t="n">
        <f aca="false">SUM('Monthly P&amp;L'!Z15:AK15)</f>
        <v>90833568.08</v>
      </c>
    </row>
    <row r="13" customFormat="false" ht="15" hidden="false" customHeight="false" outlineLevel="0" collapsed="false">
      <c r="A13" s="5" t="s">
        <v>165</v>
      </c>
      <c r="B13" s="14" t="n">
        <f aca="false">SUM('Monthly P&amp;L'!B17:M17)</f>
        <v>1278399.6</v>
      </c>
      <c r="C13" s="14" t="n">
        <f aca="false">SUM('Monthly P&amp;L'!N17:Y17)</f>
        <v>8738873.4</v>
      </c>
      <c r="D13" s="14" t="n">
        <f aca="false">SUM('Monthly P&amp;L'!Z17:AK17)</f>
        <v>34062588.03</v>
      </c>
    </row>
    <row r="14" customFormat="false" ht="15" hidden="false" customHeight="false" outlineLevel="0" collapsed="false">
      <c r="A14" s="5" t="s">
        <v>166</v>
      </c>
      <c r="B14" s="14" t="n">
        <f aca="false">SUM('Monthly P&amp;L'!B19:M19)</f>
        <v>7881.25</v>
      </c>
      <c r="C14" s="14" t="n">
        <f aca="false">SUM('Monthly P&amp;L'!N19:Y19)</f>
        <v>144151.146843645</v>
      </c>
      <c r="D14" s="14" t="n">
        <f aca="false">SUM('Monthly P&amp;L'!Z19:AK19)</f>
        <v>330905.628586041</v>
      </c>
    </row>
    <row r="15" customFormat="false" ht="15" hidden="false" customHeight="false" outlineLevel="0" collapsed="false">
      <c r="A15" s="5" t="s">
        <v>167</v>
      </c>
      <c r="B15" s="14" t="n">
        <f aca="false">SUM('Monthly P&amp;L'!B20:M20)</f>
        <v>31489.1205</v>
      </c>
      <c r="C15" s="14" t="n">
        <f aca="false">SUM('Monthly P&amp;L'!N20:Y20)</f>
        <v>441268.204405309</v>
      </c>
      <c r="D15" s="14" t="n">
        <f aca="false">SUM('Monthly P&amp;L'!Z20:AK20)</f>
        <v>1713056.57035758</v>
      </c>
    </row>
    <row r="16" customFormat="false" ht="15" hidden="false" customHeight="false" outlineLevel="0" collapsed="false">
      <c r="A16" s="15" t="s">
        <v>135</v>
      </c>
      <c r="B16" s="16" t="n">
        <f aca="false">SUM(B12:B15)</f>
        <v>4726835.5705</v>
      </c>
      <c r="C16" s="16" t="n">
        <f aca="false">SUM(C12:C15)</f>
        <v>32627955.151249</v>
      </c>
      <c r="D16" s="16" t="n">
        <f aca="false">SUM(D12:D15)</f>
        <v>126940118.308944</v>
      </c>
    </row>
    <row r="18" customFormat="false" ht="15" hidden="false" customHeight="false" outlineLevel="0" collapsed="false">
      <c r="A18" s="3" t="s">
        <v>51</v>
      </c>
    </row>
    <row r="19" customFormat="false" ht="15" hidden="false" customHeight="false" outlineLevel="0" collapsed="false">
      <c r="A19" s="5" t="s">
        <v>168</v>
      </c>
      <c r="B19" s="14" t="n">
        <f aca="false">SUM('Monthly P&amp;L'!B24:M24)</f>
        <v>15181701.1681898</v>
      </c>
      <c r="C19" s="14" t="n">
        <f aca="false">SUM('Monthly P&amp;L'!N24:Y24)</f>
        <v>38230106.2042113</v>
      </c>
      <c r="D19" s="14" t="n">
        <f aca="false">SUM('Monthly P&amp;L'!Z24:AK24)</f>
        <v>96269911.0062609</v>
      </c>
    </row>
    <row r="20" customFormat="false" ht="15" hidden="false" customHeight="false" outlineLevel="0" collapsed="false">
      <c r="A20" s="5" t="s">
        <v>169</v>
      </c>
      <c r="B20" s="14" t="n">
        <f aca="false">SUM('Monthly P&amp;L'!B25:M25)</f>
        <v>57600000</v>
      </c>
      <c r="C20" s="14" t="n">
        <f aca="false">SUM('Monthly P&amp;L'!N25:Y25)</f>
        <v>100800000</v>
      </c>
      <c r="D20" s="14" t="n">
        <f aca="false">SUM('Monthly P&amp;L'!Z25:AK25)</f>
        <v>144000000</v>
      </c>
    </row>
    <row r="21" customFormat="false" ht="15" hidden="false" customHeight="false" outlineLevel="0" collapsed="false">
      <c r="A21" s="5" t="s">
        <v>170</v>
      </c>
      <c r="B21" s="14" t="n">
        <f aca="false">SUM('Monthly P&amp;L'!B26:M26)</f>
        <v>4276856.753442</v>
      </c>
      <c r="C21" s="14" t="n">
        <f aca="false">SUM('Monthly P&amp;L'!N26:Y26)</f>
        <v>13422608.5981732</v>
      </c>
      <c r="D21" s="14" t="n">
        <f aca="false">SUM('Monthly P&amp;L'!Z26:AK26)</f>
        <v>42125895.7141262</v>
      </c>
    </row>
    <row r="22" customFormat="false" ht="15" hidden="false" customHeight="false" outlineLevel="0" collapsed="false">
      <c r="A22" s="5" t="s">
        <v>171</v>
      </c>
      <c r="B22" s="14" t="n">
        <f aca="false">SUM('Monthly P&amp;L'!B27:M27)</f>
        <v>641564.175</v>
      </c>
      <c r="C22" s="14" t="n">
        <f aca="false">SUM('Monthly P&amp;L'!N27:Y27)</f>
        <v>4412682.04405309</v>
      </c>
      <c r="D22" s="14" t="n">
        <f aca="false">SUM('Monthly P&amp;L'!Z27:AK27)</f>
        <v>17130565.7035758</v>
      </c>
    </row>
    <row r="23" customFormat="false" ht="15" hidden="false" customHeight="false" outlineLevel="0" collapsed="false">
      <c r="A23" s="5" t="s">
        <v>172</v>
      </c>
      <c r="B23" s="14" t="n">
        <f aca="false">SUM('Monthly P&amp;L'!B28:M28)</f>
        <v>4775137.95613278</v>
      </c>
      <c r="C23" s="14" t="n">
        <f aca="false">SUM('Monthly P&amp;L'!N28:Y28)</f>
        <v>8575461.70614943</v>
      </c>
      <c r="D23" s="14" t="n">
        <f aca="false">SUM('Monthly P&amp;L'!Z28:AK28)</f>
        <v>15400297.153549</v>
      </c>
    </row>
    <row r="24" customFormat="false" ht="15" hidden="false" customHeight="false" outlineLevel="0" collapsed="false">
      <c r="A24" s="4" t="s">
        <v>141</v>
      </c>
    </row>
    <row r="25" customFormat="false" ht="15" hidden="false" customHeight="false" outlineLevel="0" collapsed="false">
      <c r="A25" s="15" t="s">
        <v>141</v>
      </c>
      <c r="B25" s="16" t="n">
        <f aca="false">SUM(B19:B24)</f>
        <v>82475260.0527646</v>
      </c>
      <c r="C25" s="16" t="n">
        <f aca="false">SUM(C19:C24)</f>
        <v>165440858.552587</v>
      </c>
      <c r="D25" s="16" t="n">
        <f aca="false">SUM(D19:D24)</f>
        <v>314926669.577512</v>
      </c>
    </row>
    <row r="27" customFormat="false" ht="15" hidden="false" customHeight="false" outlineLevel="0" collapsed="false">
      <c r="A27" s="3" t="s">
        <v>173</v>
      </c>
    </row>
    <row r="28" customFormat="false" ht="15" hidden="false" customHeight="false" outlineLevel="0" collapsed="false">
      <c r="A28" s="15" t="s">
        <v>174</v>
      </c>
      <c r="B28" s="16" t="n">
        <f aca="false">B16-B25</f>
        <v>-77748424.4822646</v>
      </c>
      <c r="C28" s="16" t="n">
        <f aca="false">C16-C25</f>
        <v>-132812903.401338</v>
      </c>
      <c r="D28" s="16" t="n">
        <f aca="false">D16-D25</f>
        <v>-187986551.268568</v>
      </c>
    </row>
    <row r="29" customFormat="false" ht="15" hidden="false" customHeight="false" outlineLevel="0" collapsed="false">
      <c r="A29" s="5" t="s">
        <v>144</v>
      </c>
      <c r="B29" s="18" t="n">
        <f aca="false">IF(B16&gt;0,B28/B16,0)</f>
        <v>-16.4483031666025</v>
      </c>
      <c r="C29" s="18" t="n">
        <f aca="false">IF(C16&gt;0,C28/C16,0)</f>
        <v>-4.07052488535293</v>
      </c>
      <c r="D29" s="18" t="n">
        <f aca="false">IF(D16&gt;0,D28/D16,0)</f>
        <v>-1.48090732679996</v>
      </c>
    </row>
    <row r="30" customFormat="false" ht="15" hidden="false" customHeight="false" outlineLevel="0" collapsed="false">
      <c r="A30" s="5" t="s">
        <v>175</v>
      </c>
      <c r="B30" s="21" t="n">
        <f aca="false">B28/Assumptions!B45</f>
        <v>-48592.7653014154</v>
      </c>
      <c r="C30" s="21" t="n">
        <f aca="false">C28/Assumptions!B45</f>
        <v>-83008.0646258363</v>
      </c>
      <c r="D30" s="21" t="n">
        <f aca="false">D28/Assumptions!B45</f>
        <v>-117491.594542855</v>
      </c>
    </row>
    <row r="32" customFormat="false" ht="15" hidden="false" customHeight="false" outlineLevel="0" collapsed="false">
      <c r="A32" s="3" t="s">
        <v>146</v>
      </c>
    </row>
    <row r="33" customFormat="false" ht="15" hidden="false" customHeight="false" outlineLevel="0" collapsed="false">
      <c r="A33" s="4" t="s">
        <v>176</v>
      </c>
      <c r="B33" s="17" t="n">
        <f aca="false">'Monthly P&amp;L'!M39</f>
        <v>372251575.517735</v>
      </c>
      <c r="C33" s="17" t="n">
        <f aca="false">'Monthly P&amp;L'!Y39</f>
        <v>239438672.116397</v>
      </c>
      <c r="D33" s="17" t="n">
        <f aca="false">'Monthly P&amp;L'!AK39</f>
        <v>51452120.847829</v>
      </c>
    </row>
    <row r="34" customFormat="false" ht="15" hidden="false" customHeight="false" outlineLevel="0" collapsed="false">
      <c r="A34" s="5" t="s">
        <v>177</v>
      </c>
      <c r="B34" s="21" t="n">
        <f aca="false">B33/Assumptions!B45</f>
        <v>232657.234698585</v>
      </c>
      <c r="C34" s="21" t="n">
        <f aca="false">C33/Assumptions!B45</f>
        <v>149649.170072748</v>
      </c>
      <c r="D34" s="21" t="n">
        <f aca="false">D33/Assumptions!B45</f>
        <v>32157.5755298931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1" t="s">
        <v>178</v>
      </c>
    </row>
    <row r="2" customFormat="false" ht="15" hidden="false" customHeight="false" outlineLevel="0" collapsed="false">
      <c r="A2" s="2" t="s">
        <v>179</v>
      </c>
    </row>
    <row r="4" customFormat="false" ht="15" hidden="false" customHeight="false" outlineLevel="0" collapsed="false">
      <c r="A4" s="10"/>
      <c r="B4" s="10" t="s">
        <v>180</v>
      </c>
      <c r="C4" s="10" t="s">
        <v>181</v>
      </c>
      <c r="D4" s="10" t="s">
        <v>182</v>
      </c>
    </row>
    <row r="6" customFormat="false" ht="15" hidden="false" customHeight="false" outlineLevel="0" collapsed="false">
      <c r="A6" s="3" t="s">
        <v>183</v>
      </c>
    </row>
    <row r="7" customFormat="false" ht="15" hidden="false" customHeight="false" outlineLevel="0" collapsed="false">
      <c r="A7" s="5" t="s">
        <v>184</v>
      </c>
      <c r="B7" s="14" t="n">
        <f aca="false">'Annual Summary'!B16</f>
        <v>4726835.5705</v>
      </c>
      <c r="C7" s="14" t="n">
        <f aca="false">'Annual Summary'!C16</f>
        <v>32627955.151249</v>
      </c>
      <c r="D7" s="14" t="n">
        <f aca="false">'Annual Summary'!D16</f>
        <v>126940118.308944</v>
      </c>
    </row>
    <row r="8" customFormat="false" ht="15" hidden="false" customHeight="false" outlineLevel="0" collapsed="false">
      <c r="A8" s="5" t="s">
        <v>185</v>
      </c>
      <c r="B8" s="21" t="n">
        <f aca="false">B7/Assumptions!B45</f>
        <v>2954.2722315625</v>
      </c>
      <c r="C8" s="21" t="n">
        <f aca="false">C7/Assumptions!B45</f>
        <v>20392.4719695306</v>
      </c>
      <c r="D8" s="21" t="n">
        <f aca="false">D7/Assumptions!B45</f>
        <v>79337.5739430898</v>
      </c>
    </row>
    <row r="9" customFormat="false" ht="15" hidden="false" customHeight="false" outlineLevel="0" collapsed="false">
      <c r="A9" s="5" t="s">
        <v>186</v>
      </c>
      <c r="B9" s="14" t="n">
        <f aca="false">'Monthly P&amp;L'!M21</f>
        <v>928891.0375</v>
      </c>
      <c r="C9" s="14" t="n">
        <f aca="false">'Monthly P&amp;L'!Y21</f>
        <v>5301711.21547423</v>
      </c>
      <c r="D9" s="14" t="n">
        <f aca="false">'Monthly P&amp;L'!AK21</f>
        <v>17120059.9141858</v>
      </c>
    </row>
    <row r="10" customFormat="false" ht="15" hidden="false" customHeight="false" outlineLevel="0" collapsed="false">
      <c r="A10" s="15" t="s">
        <v>187</v>
      </c>
      <c r="B10" s="16" t="n">
        <f aca="false">B9*12</f>
        <v>11146692.45</v>
      </c>
      <c r="C10" s="16" t="n">
        <f aca="false">C9*12</f>
        <v>63620534.5856907</v>
      </c>
      <c r="D10" s="16" t="n">
        <f aca="false">D9*12</f>
        <v>205440718.97023</v>
      </c>
    </row>
    <row r="12" customFormat="false" ht="15" hidden="false" customHeight="false" outlineLevel="0" collapsed="false">
      <c r="A12" s="3" t="s">
        <v>188</v>
      </c>
    </row>
    <row r="13" customFormat="false" ht="15" hidden="false" customHeight="false" outlineLevel="0" collapsed="false">
      <c r="A13" s="5" t="s">
        <v>189</v>
      </c>
      <c r="B13" s="14" t="n">
        <f aca="false">IF('Annual Summary'!B8&gt;0,B7/12/'Annual Summary'!B8,0)</f>
        <v>20731.7349583333</v>
      </c>
      <c r="C13" s="14" t="n">
        <f aca="false">IF('Annual Summary'!C8&gt;0,C7/12/'Annual Summary'!C8,0)</f>
        <v>29554.3072022183</v>
      </c>
      <c r="D13" s="14" t="n">
        <f aca="false">IF('Annual Summary'!D8&gt;0,D7/12/'Annual Summary'!D8,0)</f>
        <v>41321.6530953593</v>
      </c>
    </row>
    <row r="14" customFormat="false" ht="15" hidden="false" customHeight="false" outlineLevel="0" collapsed="false">
      <c r="A14" s="5" t="s">
        <v>190</v>
      </c>
      <c r="B14" s="21" t="n">
        <f aca="false">B13/Assumptions!B45</f>
        <v>12.9573343489583</v>
      </c>
      <c r="C14" s="21" t="n">
        <f aca="false">C13/Assumptions!B45</f>
        <v>18.4714420013864</v>
      </c>
      <c r="D14" s="21" t="n">
        <f aca="false">D13/Assumptions!B45</f>
        <v>25.8260331845995</v>
      </c>
    </row>
    <row r="15" customFormat="false" ht="15" hidden="false" customHeight="false" outlineLevel="0" collapsed="false">
      <c r="A15" s="5" t="s">
        <v>191</v>
      </c>
      <c r="B15" s="14" t="n">
        <f aca="false">IF('Annual Summary'!B8&gt;0,('Annual Summary'!B12+'Annual Summary'!B13)/12/'Annual Summary'!B8,0)</f>
        <v>20559.0578947368</v>
      </c>
      <c r="C15" s="14" t="n">
        <f aca="false">IF('Annual Summary'!C8&gt;0,('Annual Summary'!C12+'Annual Summary'!C13)/12/'Annual Summary'!C8,0)</f>
        <v>29024.0360507246</v>
      </c>
      <c r="D15" s="14" t="n">
        <f aca="false">IF('Annual Summary'!D8&gt;0,('Annual Summary'!D12+'Annual Summary'!D13)/12/'Annual Summary'!D8,0)</f>
        <v>40656.3008170573</v>
      </c>
    </row>
    <row r="16" customFormat="false" ht="15" hidden="false" customHeight="false" outlineLevel="0" collapsed="false">
      <c r="A16" s="5" t="s">
        <v>192</v>
      </c>
      <c r="B16" s="14" t="n">
        <f aca="false">IF('Annual Summary'!B9&gt;0,'Annual Summary'!B14/12/'Annual Summary'!B9,0)</f>
        <v>656.770833333333</v>
      </c>
      <c r="C16" s="14" t="n">
        <f aca="false">IF('Annual Summary'!C9&gt;0,'Annual Summary'!C14/12/'Annual Summary'!C9,0)</f>
        <v>3003.14889257594</v>
      </c>
      <c r="D16" s="14" t="n">
        <f aca="false">IF('Annual Summary'!D9&gt;0,'Annual Summary'!D14/12/'Annual Summary'!D9,0)</f>
        <v>6893.86726220919</v>
      </c>
    </row>
    <row r="18" customFormat="false" ht="15" hidden="false" customHeight="false" outlineLevel="0" collapsed="false">
      <c r="A18" s="3" t="s">
        <v>193</v>
      </c>
    </row>
    <row r="19" customFormat="false" ht="15" hidden="false" customHeight="false" outlineLevel="0" collapsed="false">
      <c r="A19" s="15" t="s">
        <v>194</v>
      </c>
      <c r="B19" s="22" t="n">
        <f aca="false">IF('Annual Summary'!B16&gt;0,('Annual Summary'!B16-'Annual Summary'!B22)/'Annual Summary'!B16,0)</f>
        <v>0.864271949926929</v>
      </c>
      <c r="C19" s="22" t="n">
        <f aca="false">IF('Annual Summary'!C16&gt;0,('Annual Summary'!C16-'Annual Summary'!C22)/'Annual Summary'!C16,0)</f>
        <v>0.86475762812601</v>
      </c>
      <c r="D19" s="22" t="n">
        <f aca="false">IF('Annual Summary'!D16&gt;0,('Annual Summary'!D16-'Annual Summary'!D22)/'Annual Summary'!D16,0)</f>
        <v>0.865050025698859</v>
      </c>
    </row>
    <row r="20" customFormat="false" ht="15" hidden="false" customHeight="false" outlineLevel="0" collapsed="false">
      <c r="A20" s="5" t="s">
        <v>144</v>
      </c>
      <c r="B20" s="18" t="n">
        <f aca="false">'Annual Summary'!B29</f>
        <v>-16.4483031666025</v>
      </c>
      <c r="C20" s="18" t="n">
        <f aca="false">'Annual Summary'!C29</f>
        <v>-4.07052488535293</v>
      </c>
      <c r="D20" s="18" t="n">
        <f aca="false">'Annual Summary'!D29</f>
        <v>-1.48090732679996</v>
      </c>
    </row>
    <row r="21" customFormat="false" ht="15" hidden="false" customHeight="false" outlineLevel="0" collapsed="false">
      <c r="A21" s="5" t="s">
        <v>195</v>
      </c>
      <c r="B21" s="18" t="n">
        <f aca="false">(1+Assumptions!B14)^12*(1-Assumptions!B10)^12</f>
        <v>0.989253299944302</v>
      </c>
      <c r="C21" s="18" t="n">
        <f aca="false">(1+Assumptions!B14)^12*(1-Assumptions!B10)^12</f>
        <v>0.989253299944302</v>
      </c>
      <c r="D21" s="18" t="n">
        <f aca="false">(1+Assumptions!B14)^12*(1-Assumptions!B10)^12</f>
        <v>0.989253299944302</v>
      </c>
    </row>
    <row r="23" customFormat="false" ht="15" hidden="false" customHeight="false" outlineLevel="0" collapsed="false">
      <c r="A23" s="3" t="s">
        <v>196</v>
      </c>
    </row>
    <row r="24" customFormat="false" ht="15" hidden="false" customHeight="false" outlineLevel="0" collapsed="false">
      <c r="A24" s="15" t="s">
        <v>197</v>
      </c>
      <c r="B24" s="23" t="s">
        <v>198</v>
      </c>
      <c r="C24" s="24" t="n">
        <f aca="false">IF(B7&gt;0,(C7-B7)/B7,0)</f>
        <v>5.90270576680915</v>
      </c>
      <c r="D24" s="24" t="n">
        <f aca="false">IF(C7&gt;0,(D7-C7)/C7,0)</f>
        <v>2.89053245048624</v>
      </c>
    </row>
    <row r="25" customFormat="false" ht="15" hidden="false" customHeight="false" outlineLevel="0" collapsed="false">
      <c r="A25" s="5" t="s">
        <v>199</v>
      </c>
      <c r="B25" s="2" t="s">
        <v>198</v>
      </c>
      <c r="C25" s="18" t="n">
        <f aca="false">IF('Annual Summary'!B7&gt;0,('Annual Summary'!C7-'Annual Summary'!B7)/'Annual Summary'!B7,0)</f>
        <v>3</v>
      </c>
      <c r="D25" s="18" t="n">
        <f aca="false">IF('Annual Summary'!C7&gt;0,('Annual Summary'!D7-'Annual Summary'!C7)/'Annual Summary'!C7,0)</f>
        <v>1.26875</v>
      </c>
    </row>
    <row r="27" customFormat="false" ht="15" hidden="false" customHeight="false" outlineLevel="0" collapsed="false">
      <c r="A27" s="3" t="s">
        <v>200</v>
      </c>
    </row>
    <row r="28" customFormat="false" ht="15" hidden="false" customHeight="false" outlineLevel="0" collapsed="false">
      <c r="A28" s="5" t="s">
        <v>201</v>
      </c>
      <c r="B28" s="14" t="n">
        <f aca="false">IF(SUM('Monthly P&amp;L'!B7:M7)&gt;0,'Annual Summary'!B22/SUM('Monthly P&amp;L'!B7:M7),0)</f>
        <v>14256.9816666667</v>
      </c>
      <c r="C28" s="14" t="n">
        <f aca="false">IF(SUM('Monthly P&amp;L'!N7:Y7)&gt;0,'Annual Summary'!C22/SUM('Monthly P&amp;L'!N7:Y7),0)</f>
        <v>29615.3157319</v>
      </c>
      <c r="D28" s="14" t="n">
        <f aca="false">IF(SUM('Monthly P&amp;L'!Z7:AK7)&gt;0,'Annual Summary'!D22/SUM('Monthly P&amp;L'!Z7:AK7),0)</f>
        <v>59275.3138532035</v>
      </c>
    </row>
    <row r="29" customFormat="false" ht="15" hidden="false" customHeight="false" outlineLevel="0" collapsed="false">
      <c r="A29" s="5" t="s">
        <v>202</v>
      </c>
      <c r="B29" s="14" t="n">
        <f aca="false">IF(Assumptions!B10&gt;0,B13*B19/Assumptions!B10,0)</f>
        <v>597261.899926901</v>
      </c>
      <c r="C29" s="14" t="n">
        <f aca="false">IF(Assumptions!B10&gt;0,C13*C19/Assumptions!B10,0)</f>
        <v>851910.419903257</v>
      </c>
      <c r="D29" s="14" t="n">
        <f aca="false">IF(Assumptions!B10&gt;0,D13*D19/Assumptions!B10,0)</f>
        <v>1191509.90240199</v>
      </c>
    </row>
    <row r="30" customFormat="false" ht="15" hidden="false" customHeight="false" outlineLevel="0" collapsed="false">
      <c r="A30" s="15" t="s">
        <v>203</v>
      </c>
      <c r="B30" s="25" t="n">
        <f aca="false">IF(B28&gt;0,B29/B28,0)</f>
        <v>41.8925908646793</v>
      </c>
      <c r="C30" s="25" t="n">
        <f aca="false">IF(C28&gt;0,C29/C28,0)</f>
        <v>28.7658732939196</v>
      </c>
      <c r="D30" s="25" t="n">
        <f aca="false">IF(D28&gt;0,D29/D28,0)</f>
        <v>20.1012837376584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2026-02-24T18:12:05Z</dcterms:created>
  <dc:creator>openpyxl</dc:creator>
  <dc:description/>
  <dc:language>en-US</dc:language>
  <cp:lastModifiedBy/>
  <dcterms:modified xsi:type="dcterms:W3CDTF">2026-02-24T18:12:05Z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